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"/>
    </mc:Choice>
  </mc:AlternateContent>
  <xr:revisionPtr revIDLastSave="0" documentId="13_ncr:1_{1F366019-7091-46C0-B293-C609A84E21B8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QuanLy" sheetId="1" r:id="rId1"/>
    <sheet name="Nhap" sheetId="2" r:id="rId2"/>
    <sheet name="Xuat" sheetId="3" r:id="rId3"/>
    <sheet name="DanhMucSP" sheetId="5" r:id="rId4"/>
    <sheet name="Kho" sheetId="4" r:id="rId5"/>
    <sheet name="BAOCAO" sheetId="6" r:id="rId6"/>
  </sheets>
  <definedNames>
    <definedName name="_xlnm._FilterDatabase" localSheetId="5" hidden="1">BAOCAO!$A$6:$R$7</definedName>
    <definedName name="_xlnm._FilterDatabase" localSheetId="4" hidden="1">Kho!$A$9:$L$79</definedName>
    <definedName name="_xlnm._FilterDatabase" localSheetId="1" hidden="1">Nhap!$B$5:$J$11</definedName>
    <definedName name="_xlnm.Criteria" localSheetId="5">BAOCAO!$J$6:$R$7</definedName>
    <definedName name="_xlnm.Extract" localSheetId="5">BAOCAO!$A$6:$I$6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8" i="4" l="1"/>
  <c r="C18" i="4"/>
  <c r="F18" i="4" s="1"/>
  <c r="I18" i="4" s="1"/>
  <c r="D18" i="4"/>
  <c r="B19" i="4"/>
  <c r="C19" i="4"/>
  <c r="D19" i="4"/>
  <c r="F19" i="4"/>
  <c r="H19" i="4"/>
  <c r="B20" i="4"/>
  <c r="C20" i="4"/>
  <c r="D20" i="4"/>
  <c r="F20" i="4"/>
  <c r="H20" i="4"/>
  <c r="B21" i="4"/>
  <c r="C21" i="4"/>
  <c r="F21" i="4" s="1"/>
  <c r="D21" i="4"/>
  <c r="B22" i="4"/>
  <c r="C22" i="4"/>
  <c r="D22" i="4"/>
  <c r="F22" i="4"/>
  <c r="H22" i="4"/>
  <c r="B23" i="4"/>
  <c r="C23" i="4"/>
  <c r="D23" i="4"/>
  <c r="F23" i="4"/>
  <c r="H23" i="4"/>
  <c r="B24" i="4"/>
  <c r="C24" i="4"/>
  <c r="F24" i="4" s="1"/>
  <c r="D24" i="4"/>
  <c r="B25" i="4"/>
  <c r="C25" i="4"/>
  <c r="F25" i="4" s="1"/>
  <c r="D25" i="4"/>
  <c r="B26" i="4"/>
  <c r="C26" i="4"/>
  <c r="D26" i="4"/>
  <c r="F26" i="4"/>
  <c r="I26" i="4" s="1"/>
  <c r="J26" i="4" s="1"/>
  <c r="H26" i="4"/>
  <c r="B27" i="4"/>
  <c r="C27" i="4"/>
  <c r="D27" i="4"/>
  <c r="F27" i="4"/>
  <c r="H27" i="4"/>
  <c r="B28" i="4"/>
  <c r="C28" i="4"/>
  <c r="F28" i="4" s="1"/>
  <c r="D28" i="4"/>
  <c r="B29" i="4"/>
  <c r="C29" i="4"/>
  <c r="F29" i="4" s="1"/>
  <c r="D29" i="4"/>
  <c r="H29" i="4"/>
  <c r="B30" i="4"/>
  <c r="C30" i="4"/>
  <c r="F30" i="4" s="1"/>
  <c r="I30" i="4" s="1"/>
  <c r="D30" i="4"/>
  <c r="B31" i="4"/>
  <c r="C31" i="4"/>
  <c r="D31" i="4"/>
  <c r="F31" i="4"/>
  <c r="H31" i="4"/>
  <c r="B32" i="4"/>
  <c r="C32" i="4"/>
  <c r="F32" i="4" s="1"/>
  <c r="D32" i="4"/>
  <c r="H32" i="4"/>
  <c r="B33" i="4"/>
  <c r="C33" i="4"/>
  <c r="F33" i="4" s="1"/>
  <c r="D33" i="4"/>
  <c r="B34" i="4"/>
  <c r="C34" i="4"/>
  <c r="F34" i="4" s="1"/>
  <c r="I34" i="4" s="1"/>
  <c r="J34" i="4" s="1"/>
  <c r="D34" i="4"/>
  <c r="H34" i="4"/>
  <c r="B35" i="4"/>
  <c r="C35" i="4"/>
  <c r="H35" i="4" s="1"/>
  <c r="D35" i="4"/>
  <c r="F35" i="4"/>
  <c r="B36" i="4"/>
  <c r="C36" i="4"/>
  <c r="F36" i="4" s="1"/>
  <c r="D36" i="4"/>
  <c r="H36" i="4"/>
  <c r="B37" i="4"/>
  <c r="C37" i="4"/>
  <c r="F37" i="4" s="1"/>
  <c r="D37" i="4"/>
  <c r="B38" i="4"/>
  <c r="C38" i="4"/>
  <c r="D38" i="4"/>
  <c r="F38" i="4"/>
  <c r="I38" i="4" s="1"/>
  <c r="J38" i="4" s="1"/>
  <c r="H38" i="4"/>
  <c r="B39" i="4"/>
  <c r="C39" i="4"/>
  <c r="F39" i="4" s="1"/>
  <c r="D39" i="4"/>
  <c r="B40" i="4"/>
  <c r="C40" i="4"/>
  <c r="F40" i="4" s="1"/>
  <c r="D40" i="4"/>
  <c r="H40" i="4"/>
  <c r="B41" i="4"/>
  <c r="C41" i="4"/>
  <c r="F41" i="4" s="1"/>
  <c r="D41" i="4"/>
  <c r="B42" i="4"/>
  <c r="C42" i="4"/>
  <c r="D42" i="4"/>
  <c r="F42" i="4"/>
  <c r="I42" i="4" s="1"/>
  <c r="H42" i="4"/>
  <c r="B43" i="4"/>
  <c r="C43" i="4"/>
  <c r="F43" i="4" s="1"/>
  <c r="D43" i="4"/>
  <c r="H43" i="4"/>
  <c r="B44" i="4"/>
  <c r="C44" i="4"/>
  <c r="F44" i="4" s="1"/>
  <c r="D44" i="4"/>
  <c r="H44" i="4"/>
  <c r="B45" i="4"/>
  <c r="C45" i="4"/>
  <c r="F45" i="4" s="1"/>
  <c r="D45" i="4"/>
  <c r="H45" i="4"/>
  <c r="B46" i="4"/>
  <c r="C46" i="4"/>
  <c r="H46" i="4" s="1"/>
  <c r="D46" i="4"/>
  <c r="F46" i="4"/>
  <c r="B47" i="4"/>
  <c r="C47" i="4"/>
  <c r="H47" i="4" s="1"/>
  <c r="D47" i="4"/>
  <c r="F47" i="4"/>
  <c r="B48" i="4"/>
  <c r="C48" i="4"/>
  <c r="H48" i="4" s="1"/>
  <c r="D48" i="4"/>
  <c r="F48" i="4"/>
  <c r="B49" i="4"/>
  <c r="C49" i="4"/>
  <c r="H49" i="4" s="1"/>
  <c r="D49" i="4"/>
  <c r="F49" i="4"/>
  <c r="B50" i="4"/>
  <c r="C50" i="4"/>
  <c r="H50" i="4" s="1"/>
  <c r="D50" i="4"/>
  <c r="F50" i="4"/>
  <c r="B51" i="4"/>
  <c r="C51" i="4"/>
  <c r="D51" i="4"/>
  <c r="F51" i="4"/>
  <c r="H51" i="4"/>
  <c r="B52" i="4"/>
  <c r="C52" i="4"/>
  <c r="F52" i="4" s="1"/>
  <c r="D52" i="4"/>
  <c r="B53" i="4"/>
  <c r="C53" i="4"/>
  <c r="D53" i="4"/>
  <c r="F53" i="4"/>
  <c r="H53" i="4"/>
  <c r="B54" i="4"/>
  <c r="C54" i="4"/>
  <c r="D54" i="4"/>
  <c r="F54" i="4"/>
  <c r="H54" i="4"/>
  <c r="B55" i="4"/>
  <c r="C55" i="4"/>
  <c r="F55" i="4" s="1"/>
  <c r="D55" i="4"/>
  <c r="B56" i="4"/>
  <c r="C56" i="4"/>
  <c r="D56" i="4"/>
  <c r="F56" i="4"/>
  <c r="H56" i="4"/>
  <c r="B57" i="4"/>
  <c r="C57" i="4"/>
  <c r="F57" i="4" s="1"/>
  <c r="D57" i="4"/>
  <c r="H57" i="4"/>
  <c r="B58" i="4"/>
  <c r="C58" i="4"/>
  <c r="H58" i="4" s="1"/>
  <c r="D58" i="4"/>
  <c r="F58" i="4"/>
  <c r="J42" i="4" l="1"/>
  <c r="H18" i="4"/>
  <c r="J18" i="4" s="1"/>
  <c r="H52" i="4"/>
  <c r="H39" i="4"/>
  <c r="H30" i="4"/>
  <c r="J30" i="4" s="1"/>
  <c r="H21" i="4"/>
  <c r="H28" i="4"/>
  <c r="H55" i="4"/>
  <c r="H37" i="4"/>
  <c r="H24" i="4"/>
  <c r="E57" i="4"/>
  <c r="K57" i="4" s="1"/>
  <c r="L57" i="4" s="1"/>
  <c r="E55" i="4"/>
  <c r="K55" i="4" s="1"/>
  <c r="L55" i="4" s="1"/>
  <c r="E53" i="4"/>
  <c r="K53" i="4" s="1"/>
  <c r="L53" i="4" s="1"/>
  <c r="E51" i="4"/>
  <c r="K51" i="4" s="1"/>
  <c r="L51" i="4" s="1"/>
  <c r="I49" i="4"/>
  <c r="J49" i="4" s="1"/>
  <c r="E48" i="4"/>
  <c r="K48" i="4" s="1"/>
  <c r="L48" i="4" s="1"/>
  <c r="E42" i="4"/>
  <c r="I40" i="4"/>
  <c r="J40" i="4" s="1"/>
  <c r="I39" i="4"/>
  <c r="J39" i="4" s="1"/>
  <c r="E34" i="4"/>
  <c r="I32" i="4"/>
  <c r="J32" i="4" s="1"/>
  <c r="I31" i="4"/>
  <c r="J31" i="4" s="1"/>
  <c r="E26" i="4"/>
  <c r="I24" i="4"/>
  <c r="J24" i="4" s="1"/>
  <c r="I23" i="4"/>
  <c r="J23" i="4" s="1"/>
  <c r="I57" i="4"/>
  <c r="J57" i="4" s="1"/>
  <c r="G55" i="4"/>
  <c r="I55" i="4"/>
  <c r="J55" i="4" s="1"/>
  <c r="I53" i="4"/>
  <c r="J53" i="4" s="1"/>
  <c r="G51" i="4"/>
  <c r="I51" i="4"/>
  <c r="J51" i="4" s="1"/>
  <c r="I48" i="4"/>
  <c r="J48" i="4" s="1"/>
  <c r="E47" i="4"/>
  <c r="K47" i="4" s="1"/>
  <c r="L47" i="4" s="1"/>
  <c r="I45" i="4"/>
  <c r="J45" i="4" s="1"/>
  <c r="H41" i="4"/>
  <c r="I37" i="4"/>
  <c r="J37" i="4" s="1"/>
  <c r="H33" i="4"/>
  <c r="I29" i="4"/>
  <c r="J29" i="4" s="1"/>
  <c r="H25" i="4"/>
  <c r="E58" i="4"/>
  <c r="K58" i="4" s="1"/>
  <c r="L58" i="4" s="1"/>
  <c r="E56" i="4"/>
  <c r="K56" i="4" s="1"/>
  <c r="L56" i="4" s="1"/>
  <c r="E54" i="4"/>
  <c r="K54" i="4" s="1"/>
  <c r="L54" i="4" s="1"/>
  <c r="E52" i="4"/>
  <c r="K52" i="4" s="1"/>
  <c r="L52" i="4" s="1"/>
  <c r="E50" i="4"/>
  <c r="K50" i="4" s="1"/>
  <c r="L50" i="4" s="1"/>
  <c r="I47" i="4"/>
  <c r="J47" i="4" s="1"/>
  <c r="E46" i="4"/>
  <c r="K46" i="4" s="1"/>
  <c r="L46" i="4" s="1"/>
  <c r="I44" i="4"/>
  <c r="J44" i="4" s="1"/>
  <c r="I43" i="4"/>
  <c r="J43" i="4" s="1"/>
  <c r="E38" i="4"/>
  <c r="I36" i="4"/>
  <c r="J36" i="4" s="1"/>
  <c r="I35" i="4"/>
  <c r="J35" i="4" s="1"/>
  <c r="E30" i="4"/>
  <c r="I28" i="4"/>
  <c r="J28" i="4" s="1"/>
  <c r="I27" i="4"/>
  <c r="J27" i="4" s="1"/>
  <c r="I22" i="4"/>
  <c r="J22" i="4" s="1"/>
  <c r="E19" i="4"/>
  <c r="K19" i="4" s="1"/>
  <c r="L19" i="4" s="1"/>
  <c r="G58" i="4"/>
  <c r="I58" i="4"/>
  <c r="J58" i="4" s="1"/>
  <c r="I56" i="4"/>
  <c r="J56" i="4" s="1"/>
  <c r="I54" i="4"/>
  <c r="J54" i="4" s="1"/>
  <c r="I52" i="4"/>
  <c r="J52" i="4" s="1"/>
  <c r="I50" i="4"/>
  <c r="J50" i="4" s="1"/>
  <c r="E49" i="4"/>
  <c r="K49" i="4" s="1"/>
  <c r="L49" i="4" s="1"/>
  <c r="G46" i="4"/>
  <c r="I46" i="4"/>
  <c r="J46" i="4" s="1"/>
  <c r="I41" i="4"/>
  <c r="J41" i="4" s="1"/>
  <c r="I33" i="4"/>
  <c r="I25" i="4"/>
  <c r="J25" i="4" s="1"/>
  <c r="E45" i="4"/>
  <c r="K45" i="4" s="1"/>
  <c r="L45" i="4" s="1"/>
  <c r="E41" i="4"/>
  <c r="K41" i="4" s="1"/>
  <c r="L41" i="4" s="1"/>
  <c r="E37" i="4"/>
  <c r="K37" i="4" s="1"/>
  <c r="L37" i="4" s="1"/>
  <c r="E33" i="4"/>
  <c r="K33" i="4" s="1"/>
  <c r="L33" i="4" s="1"/>
  <c r="E29" i="4"/>
  <c r="K29" i="4" s="1"/>
  <c r="L29" i="4" s="1"/>
  <c r="E25" i="4"/>
  <c r="K25" i="4" s="1"/>
  <c r="L25" i="4" s="1"/>
  <c r="E20" i="4"/>
  <c r="K20" i="4" s="1"/>
  <c r="L20" i="4" s="1"/>
  <c r="I19" i="4"/>
  <c r="J19" i="4" s="1"/>
  <c r="G19" i="4"/>
  <c r="E44" i="4"/>
  <c r="K44" i="4" s="1"/>
  <c r="L44" i="4" s="1"/>
  <c r="E40" i="4"/>
  <c r="K40" i="4" s="1"/>
  <c r="L40" i="4" s="1"/>
  <c r="E36" i="4"/>
  <c r="K36" i="4" s="1"/>
  <c r="L36" i="4" s="1"/>
  <c r="E32" i="4"/>
  <c r="K32" i="4" s="1"/>
  <c r="L32" i="4" s="1"/>
  <c r="E28" i="4"/>
  <c r="K28" i="4" s="1"/>
  <c r="L28" i="4" s="1"/>
  <c r="K24" i="4"/>
  <c r="L24" i="4" s="1"/>
  <c r="E21" i="4"/>
  <c r="K21" i="4" s="1"/>
  <c r="L21" i="4" s="1"/>
  <c r="I20" i="4"/>
  <c r="J20" i="4" s="1"/>
  <c r="E43" i="4"/>
  <c r="K43" i="4" s="1"/>
  <c r="L43" i="4" s="1"/>
  <c r="E39" i="4"/>
  <c r="K39" i="4" s="1"/>
  <c r="L39" i="4" s="1"/>
  <c r="E35" i="4"/>
  <c r="K35" i="4" s="1"/>
  <c r="L35" i="4" s="1"/>
  <c r="E31" i="4"/>
  <c r="K31" i="4" s="1"/>
  <c r="L31" i="4" s="1"/>
  <c r="E27" i="4"/>
  <c r="K27" i="4" s="1"/>
  <c r="L27" i="4" s="1"/>
  <c r="E23" i="4"/>
  <c r="K23" i="4" s="1"/>
  <c r="L23" i="4" s="1"/>
  <c r="E22" i="4"/>
  <c r="K22" i="4" s="1"/>
  <c r="L22" i="4" s="1"/>
  <c r="I21" i="4"/>
  <c r="J21" i="4" s="1"/>
  <c r="E18" i="4"/>
  <c r="K18" i="4" s="1"/>
  <c r="L18" i="4" s="1"/>
  <c r="F13" i="1"/>
  <c r="C11" i="1"/>
  <c r="C12" i="1"/>
  <c r="C15" i="1"/>
  <c r="D11" i="4"/>
  <c r="D12" i="4"/>
  <c r="D13" i="4"/>
  <c r="D14" i="4"/>
  <c r="D15" i="4"/>
  <c r="D16" i="4"/>
  <c r="D17" i="4"/>
  <c r="D10" i="4"/>
  <c r="D3" i="4"/>
  <c r="C11" i="4"/>
  <c r="C12" i="4"/>
  <c r="C13" i="4"/>
  <c r="C14" i="4"/>
  <c r="C15" i="4"/>
  <c r="C16" i="4"/>
  <c r="C17" i="4"/>
  <c r="C10" i="4"/>
  <c r="F12" i="1"/>
  <c r="G50" i="4" l="1"/>
  <c r="G33" i="4"/>
  <c r="G48" i="4"/>
  <c r="G57" i="4"/>
  <c r="J33" i="4"/>
  <c r="G54" i="4"/>
  <c r="G53" i="4"/>
  <c r="G20" i="4"/>
  <c r="G25" i="4"/>
  <c r="G41" i="4"/>
  <c r="G27" i="4"/>
  <c r="K30" i="4"/>
  <c r="L30" i="4" s="1"/>
  <c r="G30" i="4"/>
  <c r="G36" i="4"/>
  <c r="G43" i="4"/>
  <c r="G45" i="4"/>
  <c r="G49" i="4"/>
  <c r="G21" i="4"/>
  <c r="G52" i="4"/>
  <c r="G56" i="4"/>
  <c r="G37" i="4"/>
  <c r="G24" i="4"/>
  <c r="G31" i="4"/>
  <c r="K34" i="4"/>
  <c r="L34" i="4" s="1"/>
  <c r="G34" i="4"/>
  <c r="G40" i="4"/>
  <c r="K38" i="4"/>
  <c r="L38" i="4" s="1"/>
  <c r="G38" i="4"/>
  <c r="G44" i="4"/>
  <c r="G29" i="4"/>
  <c r="G22" i="4"/>
  <c r="G28" i="4"/>
  <c r="G35" i="4"/>
  <c r="G18" i="4"/>
  <c r="G47" i="4"/>
  <c r="G23" i="4"/>
  <c r="K26" i="4"/>
  <c r="L26" i="4" s="1"/>
  <c r="G26" i="4"/>
  <c r="G32" i="4"/>
  <c r="G39" i="4"/>
  <c r="K42" i="4"/>
  <c r="L42" i="4" s="1"/>
  <c r="G42" i="4"/>
  <c r="F3" i="4"/>
  <c r="C3" i="4"/>
  <c r="E3" i="4" s="1"/>
  <c r="A59" i="4"/>
  <c r="A60" i="4"/>
  <c r="A61" i="4"/>
  <c r="A62" i="4"/>
  <c r="A63" i="4"/>
  <c r="A64" i="4"/>
  <c r="A65" i="4"/>
  <c r="A66" i="4"/>
  <c r="A67" i="4"/>
  <c r="A68" i="4"/>
  <c r="A69" i="4"/>
  <c r="A70" i="4"/>
  <c r="A71" i="4"/>
  <c r="A72" i="4"/>
  <c r="A73" i="4"/>
  <c r="A74" i="4"/>
  <c r="A75" i="4"/>
  <c r="A76" i="4"/>
  <c r="A77" i="4"/>
  <c r="A78" i="4"/>
  <c r="A79" i="4"/>
  <c r="B11" i="4"/>
  <c r="B12" i="4"/>
  <c r="B13" i="4"/>
  <c r="B14" i="4"/>
  <c r="B15" i="4"/>
  <c r="H15" i="4"/>
  <c r="B16" i="4"/>
  <c r="B17" i="4"/>
  <c r="H11" i="4"/>
  <c r="B10" i="4"/>
  <c r="E17" i="4" l="1"/>
  <c r="E15" i="4"/>
  <c r="K15" i="4" s="1"/>
  <c r="K11" i="4"/>
  <c r="A11" i="4"/>
  <c r="A12" i="4" s="1"/>
  <c r="A13" i="4" s="1"/>
  <c r="A14" i="4" s="1"/>
  <c r="A15" i="4" s="1"/>
  <c r="A16" i="4" s="1"/>
  <c r="A17" i="4" s="1"/>
  <c r="A18" i="4" s="1"/>
  <c r="A19" i="4" s="1"/>
  <c r="A20" i="4" s="1"/>
  <c r="A21" i="4" s="1"/>
  <c r="A22" i="4" s="1"/>
  <c r="A23" i="4" s="1"/>
  <c r="A24" i="4" s="1"/>
  <c r="A25" i="4" s="1"/>
  <c r="A26" i="4" s="1"/>
  <c r="A27" i="4" s="1"/>
  <c r="A28" i="4" s="1"/>
  <c r="A29" i="4" s="1"/>
  <c r="A30" i="4" s="1"/>
  <c r="A31" i="4" s="1"/>
  <c r="A32" i="4" s="1"/>
  <c r="A33" i="4" s="1"/>
  <c r="A34" i="4" s="1"/>
  <c r="A35" i="4" s="1"/>
  <c r="A36" i="4" s="1"/>
  <c r="A37" i="4" s="1"/>
  <c r="A38" i="4" s="1"/>
  <c r="A39" i="4" s="1"/>
  <c r="A40" i="4" s="1"/>
  <c r="A41" i="4" s="1"/>
  <c r="A42" i="4" s="1"/>
  <c r="A43" i="4" s="1"/>
  <c r="A44" i="4" s="1"/>
  <c r="A45" i="4" s="1"/>
  <c r="A46" i="4" s="1"/>
  <c r="A47" i="4" s="1"/>
  <c r="A48" i="4" s="1"/>
  <c r="A49" i="4" s="1"/>
  <c r="A50" i="4" s="1"/>
  <c r="A51" i="4" s="1"/>
  <c r="A52" i="4" s="1"/>
  <c r="A53" i="4" s="1"/>
  <c r="A54" i="4" s="1"/>
  <c r="A55" i="4" s="1"/>
  <c r="A56" i="4" s="1"/>
  <c r="A57" i="4" s="1"/>
  <c r="A58" i="4" s="1"/>
  <c r="E16" i="4"/>
  <c r="I13" i="1"/>
  <c r="G3" i="4"/>
  <c r="F11" i="4"/>
  <c r="F15" i="4"/>
  <c r="F10" i="4"/>
  <c r="F14" i="4"/>
  <c r="F17" i="4"/>
  <c r="F13" i="4"/>
  <c r="F16" i="4"/>
  <c r="F12" i="4"/>
  <c r="H14" i="4"/>
  <c r="H17" i="4"/>
  <c r="K17" i="4" s="1"/>
  <c r="H13" i="4"/>
  <c r="H16" i="4"/>
  <c r="H12" i="4"/>
  <c r="K12" i="4" l="1"/>
  <c r="L12" i="4" s="1"/>
  <c r="K13" i="4"/>
  <c r="L13" i="4" s="1"/>
  <c r="K16" i="4"/>
  <c r="L16" i="4" s="1"/>
  <c r="K14" i="4"/>
  <c r="L14" i="4" s="1"/>
  <c r="K10" i="4"/>
  <c r="L10" i="4" s="1"/>
  <c r="L15" i="4"/>
  <c r="L11" i="4"/>
  <c r="I16" i="4"/>
  <c r="J16" i="4" s="1"/>
  <c r="G16" i="4"/>
  <c r="I13" i="4"/>
  <c r="J13" i="4" s="1"/>
  <c r="G13" i="4"/>
  <c r="I17" i="4"/>
  <c r="J17" i="4" s="1"/>
  <c r="G17" i="4"/>
  <c r="I15" i="4"/>
  <c r="J15" i="4" s="1"/>
  <c r="G15" i="4"/>
  <c r="I10" i="4"/>
  <c r="J10" i="4" s="1"/>
  <c r="G10" i="4"/>
  <c r="I12" i="4"/>
  <c r="J12" i="4" s="1"/>
  <c r="G12" i="4"/>
  <c r="I14" i="4"/>
  <c r="J14" i="4" s="1"/>
  <c r="G14" i="4"/>
  <c r="I11" i="4"/>
  <c r="J11" i="4" s="1"/>
  <c r="G11" i="4"/>
  <c r="L17" i="4"/>
  <c r="I12" i="1" l="1"/>
  <c r="L8" i="4"/>
  <c r="Q11" i="4"/>
  <c r="J8" i="4"/>
  <c r="G8" i="4"/>
  <c r="Q10" i="4"/>
  <c r="Q12" i="4" l="1"/>
</calcChain>
</file>

<file path=xl/sharedStrings.xml><?xml version="1.0" encoding="utf-8"?>
<sst xmlns="http://schemas.openxmlformats.org/spreadsheetml/2006/main" count="244" uniqueCount="145">
  <si>
    <t>Mã sản phẩm</t>
  </si>
  <si>
    <t>Tên sản phẩm</t>
  </si>
  <si>
    <t>Số lượng</t>
  </si>
  <si>
    <t>Đơn giá</t>
  </si>
  <si>
    <t>Ngày nhập</t>
  </si>
  <si>
    <t>Ngày xuất</t>
  </si>
  <si>
    <t>Mục đích</t>
  </si>
  <si>
    <t>STT</t>
  </si>
  <si>
    <t>VIT4X25</t>
  </si>
  <si>
    <t>Vít 4x25</t>
  </si>
  <si>
    <t>Ghi chú</t>
  </si>
  <si>
    <t>Thành tiền</t>
  </si>
  <si>
    <t>Tổng giá trị nhập</t>
  </si>
  <si>
    <t>Tổng giá trị xuất</t>
  </si>
  <si>
    <t>Tổng giá trị Tồn</t>
  </si>
  <si>
    <t>SL nhập</t>
  </si>
  <si>
    <t>SL xuất</t>
  </si>
  <si>
    <t>SL Tồn</t>
  </si>
  <si>
    <t>Giá nhập</t>
  </si>
  <si>
    <t>Giá xuất</t>
  </si>
  <si>
    <t>Thành tiền nhập</t>
  </si>
  <si>
    <t>Thành tiền xuất</t>
  </si>
  <si>
    <t>BÁO CÁO TỔNG KẾT SỐ LƯỢNG HÀNG NHẬP TRONG THÁNG</t>
  </si>
  <si>
    <t>CÔNG TY CP GỖ TRẦN HÀO</t>
  </si>
  <si>
    <t>Bảng nhập dữ liệu cần tìm</t>
  </si>
  <si>
    <t>Đơn vị tính</t>
  </si>
  <si>
    <t>Kg</t>
  </si>
  <si>
    <t>SL Nhập</t>
  </si>
  <si>
    <t>Mã NCC</t>
  </si>
  <si>
    <t>Tên NCC</t>
  </si>
  <si>
    <t>Nhà cung cấp</t>
  </si>
  <si>
    <t>NHUANPHAT</t>
  </si>
  <si>
    <t>Nhuận Phát</t>
  </si>
  <si>
    <t>Nhà CC</t>
  </si>
  <si>
    <t>Bắn ghế B</t>
  </si>
  <si>
    <t>GIAHUNG</t>
  </si>
  <si>
    <t>NHIENKHANG</t>
  </si>
  <si>
    <t>Gia Hưng</t>
  </si>
  <si>
    <t>Nhiên Khang</t>
  </si>
  <si>
    <t>ANHTHU</t>
  </si>
  <si>
    <t>Anh Thư</t>
  </si>
  <si>
    <t>DINHF15</t>
  </si>
  <si>
    <t>DINHF20</t>
  </si>
  <si>
    <t>DINHF25</t>
  </si>
  <si>
    <t>DINHF30</t>
  </si>
  <si>
    <t>PHANVIET</t>
  </si>
  <si>
    <t>SOCAY6.3X25</t>
  </si>
  <si>
    <t>SOCAY6.3x20</t>
  </si>
  <si>
    <t>KEOSUANK01</t>
  </si>
  <si>
    <t>NHAMCHOI180</t>
  </si>
  <si>
    <t>NHAMCHOI240</t>
  </si>
  <si>
    <t>DAYNILON</t>
  </si>
  <si>
    <t>CHOTGO10X30</t>
  </si>
  <si>
    <t>NHAMTHUNG320</t>
  </si>
  <si>
    <t>NHAMTHUNG240</t>
  </si>
  <si>
    <t>NHAMTHUNG200</t>
  </si>
  <si>
    <t>NHAMTHUNG180</t>
  </si>
  <si>
    <t>NHAMTHUNG120</t>
  </si>
  <si>
    <t>NHAMCANTRON100</t>
  </si>
  <si>
    <t>NHAMCANTRON240</t>
  </si>
  <si>
    <t>NHAMBANG120</t>
  </si>
  <si>
    <t>NHAMBANGL180</t>
  </si>
  <si>
    <t>NHAMBANGL240</t>
  </si>
  <si>
    <t>NHAMBANGL150</t>
  </si>
  <si>
    <t>NHAMBANGN180</t>
  </si>
  <si>
    <t>NHAMMAI100</t>
  </si>
  <si>
    <t>NHAMMAI240</t>
  </si>
  <si>
    <t>NHAMMAI180</t>
  </si>
  <si>
    <t>NHAMGIAY240</t>
  </si>
  <si>
    <t>NHAMTRONVAI180</t>
  </si>
  <si>
    <t>KEO502LON</t>
  </si>
  <si>
    <t>KEOA13</t>
  </si>
  <si>
    <t>MANPE</t>
  </si>
  <si>
    <t>NHAM</t>
  </si>
  <si>
    <t>NHAMCOCCUON</t>
  </si>
  <si>
    <t>BAOTAY</t>
  </si>
  <si>
    <t>VAIVUN</t>
  </si>
  <si>
    <t>NHAMTRONGIAY320</t>
  </si>
  <si>
    <t>NHAMTRONGIAY240</t>
  </si>
  <si>
    <t>NHAMTRONVAI240</t>
  </si>
  <si>
    <t>NHAMTRONVAI320</t>
  </si>
  <si>
    <t>NHAMGIAY320</t>
  </si>
  <si>
    <t>BOTCHET</t>
  </si>
  <si>
    <t>KEOSUA</t>
  </si>
  <si>
    <t>SOCAY6X12</t>
  </si>
  <si>
    <t>BULONGDEN6X30</t>
  </si>
  <si>
    <t>BULONG7MAU6X60</t>
  </si>
  <si>
    <t>NHAMTRONVAI120</t>
  </si>
  <si>
    <t>CHOTGO10X40</t>
  </si>
  <si>
    <t>Đinh F15</t>
  </si>
  <si>
    <t>Đinh F20</t>
  </si>
  <si>
    <t>Đinh F25</t>
  </si>
  <si>
    <t>Đinh F30</t>
  </si>
  <si>
    <t>Phấn viết</t>
  </si>
  <si>
    <t>Sò 1/4x25 6x25mm</t>
  </si>
  <si>
    <t>Sò cấy 6x20mm</t>
  </si>
  <si>
    <t>Keo sữa NK01</t>
  </si>
  <si>
    <t>Nhám chổi 180</t>
  </si>
  <si>
    <t>Nhám chỏi 240</t>
  </si>
  <si>
    <t>Dây Nilon</t>
  </si>
  <si>
    <t>Chốt 10x30</t>
  </si>
  <si>
    <t>Nhám thùng 320</t>
  </si>
  <si>
    <t>Nhám thùng 240</t>
  </si>
  <si>
    <t>Nhám thùng 200</t>
  </si>
  <si>
    <t>Nhám thùng 180</t>
  </si>
  <si>
    <t>Nhám thùng 120</t>
  </si>
  <si>
    <t>Nhám cán tròn 100</t>
  </si>
  <si>
    <t>Nhám cán tròn 240</t>
  </si>
  <si>
    <t>Nhám vòng cánh 120</t>
  </si>
  <si>
    <t>Nhám vòng cánh 180</t>
  </si>
  <si>
    <t>Nhám vòng cánh 240</t>
  </si>
  <si>
    <t>Nhám vòng nhỏ 150</t>
  </si>
  <si>
    <t>Nhám vòng nhỏ 180</t>
  </si>
  <si>
    <t>Nhám mài 100</t>
  </si>
  <si>
    <t>Nhám mài 240</t>
  </si>
  <si>
    <t>Nhám mài 180</t>
  </si>
  <si>
    <t>Nhám giấy 240</t>
  </si>
  <si>
    <t>Nhám tròn 180</t>
  </si>
  <si>
    <t>Keo 502 lớn</t>
  </si>
  <si>
    <t>Keo A13</t>
  </si>
  <si>
    <t>Bê ơ</t>
  </si>
  <si>
    <t>Nhám tròn giấy</t>
  </si>
  <si>
    <t>Nhám cóc cuộn</t>
  </si>
  <si>
    <t>Bao tay</t>
  </si>
  <si>
    <t>Vải vụn</t>
  </si>
  <si>
    <t>Nhám tròn giấy 320</t>
  </si>
  <si>
    <t>Nhám tròn giấy 240</t>
  </si>
  <si>
    <t>Nhám tròn vải 240</t>
  </si>
  <si>
    <t>Nhám tròn vải 320</t>
  </si>
  <si>
    <t>Nhám giấy 320</t>
  </si>
  <si>
    <t>Bột trét</t>
  </si>
  <si>
    <t>Keo sữa</t>
  </si>
  <si>
    <t>Sò cấy 6x12mm</t>
  </si>
  <si>
    <t>Bulong đen 6x30mm</t>
  </si>
  <si>
    <t>Bulong 7 màu 6x60mm</t>
  </si>
  <si>
    <t>Nhám tròn 120</t>
  </si>
  <si>
    <t>Chốt gỗ 10x40mm</t>
  </si>
  <si>
    <t>Hộp</t>
  </si>
  <si>
    <t>Con</t>
  </si>
  <si>
    <t>Thùng</t>
  </si>
  <si>
    <t>Cuộn</t>
  </si>
  <si>
    <t>Tờ</t>
  </si>
  <si>
    <t>Chai</t>
  </si>
  <si>
    <t>Bịch</t>
  </si>
  <si>
    <t>Thành tiền tồn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</si>
</sst>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1" formatCode="_-* #,##0_-;\-* #,##0_-;_-* &quot;-&quot;_-;_-@_-"/>
    <numFmt numFmtId="164" formatCode="0.0"/>
  </numFmts>
  <fonts count="20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2"/>
      <name val="Calibri"/>
      <family val="2"/>
      <scheme val="minor"/>
    </font>
    <font>
      <u val="singleAccounting"/>
      <sz val="11"/>
      <color rgb="FF3333CC"/>
      <name val="Calibri"/>
      <family val="2"/>
      <scheme val="minor"/>
    </font>
    <font>
      <sz val="11"/>
      <color rgb="FF3333CC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2"/>
      <color rgb="FF3333CC"/>
      <name val="Calibri"/>
      <family val="2"/>
      <scheme val="minor"/>
    </font>
    <font>
      <sz val="12"/>
      <color rgb="FF3333CC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Times New Roman"/>
      <family val="1"/>
    </font>
    <font>
      <b/>
      <sz val="11"/>
      <name val="Times New Roman"/>
      <family val="1"/>
    </font>
    <font>
      <sz val="11"/>
      <name val="Calibri Light"/>
      <family val="2"/>
      <scheme val="major"/>
    </font>
    <font>
      <sz val="12"/>
      <name val="Calibri Light"/>
      <family val="2"/>
      <scheme val="major"/>
    </font>
    <font>
      <b/>
      <sz val="11"/>
      <color theme="1"/>
      <name val="Times New Roman"/>
      <family val="1"/>
    </font>
  </fonts>
  <fills count="1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39997558519241921"/>
        <bgColor theme="4"/>
      </patternFill>
    </fill>
    <fill>
      <patternFill patternType="solid">
        <fgColor rgb="FF00B0F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7"/>
        <bgColor indexed="64"/>
      </patternFill>
    </fill>
  </fills>
  <borders count="2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40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0" fillId="3" borderId="0" xfId="0" applyFill="1"/>
    <xf numFmtId="0" fontId="3" fillId="3" borderId="0" xfId="0" applyFont="1" applyFill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 wrapText="1"/>
    </xf>
    <xf numFmtId="3" fontId="0" fillId="0" borderId="0" xfId="0" applyNumberFormat="1"/>
    <xf numFmtId="0" fontId="0" fillId="4" borderId="0" xfId="0" applyFill="1"/>
    <xf numFmtId="0" fontId="0" fillId="0" borderId="1" xfId="0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41" fontId="4" fillId="3" borderId="1" xfId="0" applyNumberFormat="1" applyFont="1" applyFill="1" applyBorder="1" applyAlignment="1">
      <alignment horizontal="right" vertical="center"/>
    </xf>
    <xf numFmtId="3" fontId="3" fillId="3" borderId="1" xfId="0" applyNumberFormat="1" applyFont="1" applyFill="1" applyBorder="1" applyAlignment="1">
      <alignment vertical="center"/>
    </xf>
    <xf numFmtId="2" fontId="3" fillId="3" borderId="1" xfId="0" applyNumberFormat="1" applyFont="1" applyFill="1" applyBorder="1" applyAlignment="1">
      <alignment horizontal="right" vertical="center"/>
    </xf>
    <xf numFmtId="0" fontId="3" fillId="3" borderId="1" xfId="0" applyFont="1" applyFill="1" applyBorder="1" applyAlignment="1">
      <alignment horizontal="right" vertical="center"/>
    </xf>
    <xf numFmtId="0" fontId="6" fillId="4" borderId="0" xfId="0" applyFont="1" applyFill="1" applyAlignment="1">
      <alignment horizontal="center" vertical="center"/>
    </xf>
    <xf numFmtId="14" fontId="0" fillId="4" borderId="0" xfId="0" applyNumberFormat="1" applyFill="1"/>
    <xf numFmtId="14" fontId="0" fillId="0" borderId="0" xfId="0" applyNumberFormat="1"/>
    <xf numFmtId="1" fontId="0" fillId="4" borderId="0" xfId="0" applyNumberFormat="1" applyFill="1"/>
    <xf numFmtId="1" fontId="0" fillId="0" borderId="0" xfId="0" applyNumberFormat="1"/>
    <xf numFmtId="3" fontId="0" fillId="4" borderId="0" xfId="0" applyNumberFormat="1" applyFill="1"/>
    <xf numFmtId="41" fontId="0" fillId="4" borderId="0" xfId="0" applyNumberFormat="1" applyFill="1"/>
    <xf numFmtId="41" fontId="0" fillId="0" borderId="0" xfId="0" applyNumberFormat="1"/>
    <xf numFmtId="14" fontId="6" fillId="4" borderId="0" xfId="0" applyNumberFormat="1" applyFont="1" applyFill="1" applyAlignment="1">
      <alignment horizontal="center" vertical="center"/>
    </xf>
    <xf numFmtId="1" fontId="6" fillId="4" borderId="0" xfId="0" applyNumberFormat="1" applyFont="1" applyFill="1" applyAlignment="1">
      <alignment horizontal="center" vertical="center"/>
    </xf>
    <xf numFmtId="3" fontId="6" fillId="4" borderId="0" xfId="0" applyNumberFormat="1" applyFont="1" applyFill="1" applyAlignment="1">
      <alignment horizontal="center" vertical="center"/>
    </xf>
    <xf numFmtId="41" fontId="6" fillId="4" borderId="0" xfId="0" applyNumberFormat="1" applyFont="1" applyFill="1" applyAlignment="1">
      <alignment horizontal="center" vertical="center"/>
    </xf>
    <xf numFmtId="0" fontId="3" fillId="3" borderId="0" xfId="0" applyFont="1" applyFill="1" applyAlignment="1">
      <alignment horizontal="left" vertical="center" wrapText="1"/>
    </xf>
    <xf numFmtId="14" fontId="3" fillId="3" borderId="1" xfId="0" applyNumberFormat="1" applyFont="1" applyFill="1" applyBorder="1" applyAlignment="1">
      <alignment horizontal="center" vertical="center"/>
    </xf>
    <xf numFmtId="0" fontId="1" fillId="6" borderId="1" xfId="0" applyFont="1" applyFill="1" applyBorder="1" applyAlignment="1">
      <alignment horizontal="left" vertical="center"/>
    </xf>
    <xf numFmtId="0" fontId="0" fillId="0" borderId="4" xfId="0" applyBorder="1" applyAlignment="1">
      <alignment horizontal="left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41" fontId="7" fillId="0" borderId="0" xfId="0" applyNumberFormat="1" applyFont="1" applyAlignment="1">
      <alignment vertical="center"/>
    </xf>
    <xf numFmtId="3" fontId="2" fillId="5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center"/>
    </xf>
    <xf numFmtId="0" fontId="3" fillId="0" borderId="2" xfId="0" applyFont="1" applyBorder="1" applyAlignment="1">
      <alignment horizontal="center" vertical="center"/>
    </xf>
    <xf numFmtId="14" fontId="6" fillId="0" borderId="2" xfId="0" applyNumberFormat="1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1" fontId="6" fillId="0" borderId="2" xfId="0" applyNumberFormat="1" applyFont="1" applyBorder="1" applyAlignment="1">
      <alignment horizontal="center" vertical="center"/>
    </xf>
    <xf numFmtId="3" fontId="6" fillId="0" borderId="2" xfId="0" applyNumberFormat="1" applyFont="1" applyBorder="1" applyAlignment="1">
      <alignment horizontal="center" vertical="center"/>
    </xf>
    <xf numFmtId="41" fontId="6" fillId="0" borderId="2" xfId="0" applyNumberFormat="1" applyFont="1" applyBorder="1" applyAlignment="1">
      <alignment horizontal="center" vertical="center"/>
    </xf>
    <xf numFmtId="14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1" fontId="6" fillId="0" borderId="0" xfId="0" applyNumberFormat="1" applyFont="1" applyAlignment="1">
      <alignment horizontal="center" vertical="center"/>
    </xf>
    <xf numFmtId="3" fontId="6" fillId="0" borderId="0" xfId="0" applyNumberFormat="1" applyFont="1" applyAlignment="1">
      <alignment horizontal="center" vertical="center"/>
    </xf>
    <xf numFmtId="41" fontId="6" fillId="0" borderId="0" xfId="0" applyNumberFormat="1" applyFont="1" applyAlignment="1">
      <alignment horizontal="center" vertical="center"/>
    </xf>
    <xf numFmtId="0" fontId="0" fillId="0" borderId="0" xfId="0" applyAlignment="1">
      <alignment horizontal="center"/>
    </xf>
    <xf numFmtId="0" fontId="3" fillId="0" borderId="0" xfId="0" applyFont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3" fillId="3" borderId="9" xfId="0" applyFont="1" applyFill="1" applyBorder="1" applyAlignment="1">
      <alignment horizontal="left" vertical="center"/>
    </xf>
    <xf numFmtId="14" fontId="3" fillId="0" borderId="2" xfId="0" applyNumberFormat="1" applyFont="1" applyBorder="1" applyAlignment="1">
      <alignment horizontal="center" vertical="center"/>
    </xf>
    <xf numFmtId="14" fontId="3" fillId="4" borderId="0" xfId="0" applyNumberFormat="1" applyFont="1" applyFill="1" applyAlignment="1">
      <alignment horizontal="center" vertical="center"/>
    </xf>
    <xf numFmtId="14" fontId="3" fillId="0" borderId="0" xfId="0" applyNumberFormat="1" applyFont="1" applyAlignment="1">
      <alignment horizontal="center" vertical="center"/>
    </xf>
    <xf numFmtId="3" fontId="0" fillId="0" borderId="6" xfId="0" applyNumberFormat="1" applyBorder="1" applyAlignment="1">
      <alignment horizontal="right"/>
    </xf>
    <xf numFmtId="3" fontId="0" fillId="0" borderId="0" xfId="0" applyNumberFormat="1" applyAlignment="1">
      <alignment horizontal="right"/>
    </xf>
    <xf numFmtId="3" fontId="0" fillId="0" borderId="8" xfId="0" applyNumberFormat="1" applyBorder="1" applyAlignment="1">
      <alignment horizontal="right"/>
    </xf>
    <xf numFmtId="3" fontId="5" fillId="5" borderId="1" xfId="0" applyNumberFormat="1" applyFont="1" applyFill="1" applyBorder="1" applyAlignment="1">
      <alignment horizontal="center" vertical="center" wrapText="1"/>
    </xf>
    <xf numFmtId="3" fontId="8" fillId="0" borderId="0" xfId="0" applyNumberFormat="1" applyFont="1" applyAlignment="1">
      <alignment horizontal="right"/>
    </xf>
    <xf numFmtId="3" fontId="8" fillId="0" borderId="6" xfId="0" applyNumberFormat="1" applyFont="1" applyBorder="1" applyAlignment="1">
      <alignment horizontal="right"/>
    </xf>
    <xf numFmtId="3" fontId="0" fillId="0" borderId="1" xfId="0" applyNumberFormat="1" applyBorder="1"/>
    <xf numFmtId="0" fontId="5" fillId="10" borderId="1" xfId="0" applyFont="1" applyFill="1" applyBorder="1" applyAlignment="1">
      <alignment horizontal="center" vertical="center"/>
    </xf>
    <xf numFmtId="0" fontId="0" fillId="0" borderId="1" xfId="0" applyBorder="1"/>
    <xf numFmtId="164" fontId="0" fillId="0" borderId="1" xfId="0" applyNumberFormat="1" applyBorder="1"/>
    <xf numFmtId="14" fontId="5" fillId="10" borderId="10" xfId="0" applyNumberFormat="1" applyFont="1" applyFill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1" fontId="6" fillId="0" borderId="4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3" fontId="12" fillId="0" borderId="0" xfId="0" applyNumberFormat="1" applyFont="1" applyAlignment="1">
      <alignment horizontal="center" vertical="center"/>
    </xf>
    <xf numFmtId="0" fontId="2" fillId="9" borderId="1" xfId="0" applyFont="1" applyFill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 wrapText="1"/>
    </xf>
    <xf numFmtId="164" fontId="13" fillId="3" borderId="1" xfId="0" applyNumberFormat="1" applyFont="1" applyFill="1" applyBorder="1" applyAlignment="1">
      <alignment horizontal="left" vertical="center"/>
    </xf>
    <xf numFmtId="164" fontId="3" fillId="3" borderId="1" xfId="0" applyNumberFormat="1" applyFont="1" applyFill="1" applyBorder="1" applyAlignment="1">
      <alignment horizontal="right" vertical="center"/>
    </xf>
    <xf numFmtId="0" fontId="3" fillId="9" borderId="1" xfId="0" applyFont="1" applyFill="1" applyBorder="1" applyAlignment="1">
      <alignment horizontal="left" vertical="center"/>
    </xf>
    <xf numFmtId="0" fontId="11" fillId="7" borderId="1" xfId="0" applyFont="1" applyFill="1" applyBorder="1" applyAlignment="1">
      <alignment horizontal="left" vertical="center"/>
    </xf>
    <xf numFmtId="0" fontId="11" fillId="11" borderId="1" xfId="0" applyFont="1" applyFill="1" applyBorder="1" applyAlignment="1">
      <alignment horizontal="left" vertical="center"/>
    </xf>
    <xf numFmtId="164" fontId="4" fillId="3" borderId="1" xfId="0" applyNumberFormat="1" applyFont="1" applyFill="1" applyBorder="1" applyAlignment="1">
      <alignment horizontal="left" vertical="center"/>
    </xf>
    <xf numFmtId="0" fontId="0" fillId="3" borderId="1" xfId="0" applyFill="1" applyBorder="1"/>
    <xf numFmtId="0" fontId="14" fillId="9" borderId="1" xfId="0" applyFont="1" applyFill="1" applyBorder="1"/>
    <xf numFmtId="0" fontId="1" fillId="12" borderId="0" xfId="0" applyFont="1" applyFill="1" applyAlignment="1">
      <alignment horizontal="center" vertical="center"/>
    </xf>
    <xf numFmtId="0" fontId="15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16" fillId="4" borderId="0" xfId="0" applyFont="1" applyFill="1" applyAlignment="1">
      <alignment horizontal="left" vertical="center"/>
    </xf>
    <xf numFmtId="0" fontId="15" fillId="4" borderId="0" xfId="0" applyFont="1" applyFill="1" applyAlignment="1">
      <alignment horizontal="left" vertical="center"/>
    </xf>
    <xf numFmtId="0" fontId="0" fillId="0" borderId="10" xfId="0" applyBorder="1"/>
    <xf numFmtId="0" fontId="16" fillId="0" borderId="11" xfId="0" applyFont="1" applyBorder="1" applyAlignment="1">
      <alignment horizontal="left" vertical="center"/>
    </xf>
    <xf numFmtId="14" fontId="6" fillId="0" borderId="4" xfId="0" applyNumberFormat="1" applyFont="1" applyBorder="1" applyAlignment="1">
      <alignment horizontal="center" vertical="center"/>
    </xf>
    <xf numFmtId="0" fontId="15" fillId="0" borderId="11" xfId="0" applyFont="1" applyBorder="1" applyAlignment="1">
      <alignment horizontal="left" vertical="center"/>
    </xf>
    <xf numFmtId="14" fontId="18" fillId="8" borderId="1" xfId="0" applyNumberFormat="1" applyFont="1" applyFill="1" applyBorder="1" applyAlignment="1">
      <alignment horizontal="center" vertical="center"/>
    </xf>
    <xf numFmtId="0" fontId="18" fillId="8" borderId="1" xfId="0" applyFont="1" applyFill="1" applyBorder="1" applyAlignment="1">
      <alignment horizontal="center" vertical="center"/>
    </xf>
    <xf numFmtId="1" fontId="18" fillId="8" borderId="1" xfId="0" applyNumberFormat="1" applyFont="1" applyFill="1" applyBorder="1" applyAlignment="1">
      <alignment horizontal="center" vertical="center"/>
    </xf>
    <xf numFmtId="3" fontId="18" fillId="8" borderId="1" xfId="0" applyNumberFormat="1" applyFont="1" applyFill="1" applyBorder="1" applyAlignment="1">
      <alignment horizontal="center" vertical="center"/>
    </xf>
    <xf numFmtId="41" fontId="18" fillId="8" borderId="1" xfId="0" applyNumberFormat="1" applyFont="1" applyFill="1" applyBorder="1" applyAlignment="1">
      <alignment horizontal="center" vertical="center"/>
    </xf>
    <xf numFmtId="0" fontId="17" fillId="13" borderId="1" xfId="0" applyFont="1" applyFill="1" applyBorder="1" applyAlignment="1">
      <alignment horizontal="center" vertical="center"/>
    </xf>
    <xf numFmtId="0" fontId="16" fillId="4" borderId="16" xfId="0" applyFont="1" applyFill="1" applyBorder="1" applyAlignment="1">
      <alignment horizontal="left" vertical="center"/>
    </xf>
    <xf numFmtId="14" fontId="6" fillId="4" borderId="6" xfId="0" applyNumberFormat="1" applyFont="1" applyFill="1" applyBorder="1" applyAlignment="1">
      <alignment horizontal="center" vertical="center"/>
    </xf>
    <xf numFmtId="0" fontId="6" fillId="4" borderId="6" xfId="0" applyFont="1" applyFill="1" applyBorder="1" applyAlignment="1">
      <alignment horizontal="center" vertical="center"/>
    </xf>
    <xf numFmtId="1" fontId="6" fillId="4" borderId="6" xfId="0" applyNumberFormat="1" applyFont="1" applyFill="1" applyBorder="1" applyAlignment="1">
      <alignment horizontal="center" vertical="center"/>
    </xf>
    <xf numFmtId="0" fontId="17" fillId="0" borderId="0" xfId="0" applyFont="1" applyAlignment="1">
      <alignment horizontal="center" vertical="center"/>
    </xf>
    <xf numFmtId="14" fontId="0" fillId="0" borderId="10" xfId="0" applyNumberFormat="1" applyBorder="1" applyAlignment="1">
      <alignment horizontal="center" vertical="center"/>
    </xf>
    <xf numFmtId="0" fontId="6" fillId="4" borderId="17" xfId="0" applyFont="1" applyFill="1" applyBorder="1" applyAlignment="1">
      <alignment horizontal="left" vertical="center" indent="1"/>
    </xf>
    <xf numFmtId="0" fontId="0" fillId="0" borderId="0" xfId="0" applyAlignment="1">
      <alignment horizontal="left" vertical="center" indent="1"/>
    </xf>
    <xf numFmtId="0" fontId="6" fillId="0" borderId="0" xfId="0" applyFont="1" applyAlignment="1">
      <alignment horizontal="left" vertical="center" indent="1"/>
    </xf>
    <xf numFmtId="0" fontId="6" fillId="0" borderId="12" xfId="0" applyFont="1" applyBorder="1" applyAlignment="1">
      <alignment horizontal="left" vertical="center" indent="1"/>
    </xf>
    <xf numFmtId="0" fontId="0" fillId="0" borderId="12" xfId="0" applyBorder="1" applyAlignment="1">
      <alignment horizontal="left" vertical="center" indent="1"/>
    </xf>
    <xf numFmtId="0" fontId="17" fillId="0" borderId="12" xfId="0" applyFont="1" applyBorder="1" applyAlignment="1">
      <alignment horizontal="left" vertical="center" indent="1"/>
    </xf>
    <xf numFmtId="0" fontId="0" fillId="0" borderId="15" xfId="0" applyBorder="1" applyAlignment="1">
      <alignment horizontal="left" vertical="center" indent="1"/>
    </xf>
    <xf numFmtId="0" fontId="0" fillId="0" borderId="0" xfId="0" applyAlignment="1">
      <alignment horizontal="right" vertical="center"/>
    </xf>
    <xf numFmtId="3" fontId="6" fillId="0" borderId="0" xfId="0" applyNumberFormat="1" applyFont="1" applyAlignment="1">
      <alignment horizontal="right" vertical="center"/>
    </xf>
    <xf numFmtId="3" fontId="6" fillId="4" borderId="6" xfId="0" applyNumberFormat="1" applyFont="1" applyFill="1" applyBorder="1" applyAlignment="1">
      <alignment horizontal="right" vertical="center"/>
    </xf>
    <xf numFmtId="3" fontId="6" fillId="0" borderId="4" xfId="0" applyNumberFormat="1" applyFont="1" applyBorder="1" applyAlignment="1">
      <alignment horizontal="right" vertical="center"/>
    </xf>
    <xf numFmtId="3" fontId="0" fillId="0" borderId="4" xfId="0" applyNumberFormat="1" applyBorder="1" applyAlignment="1">
      <alignment horizontal="right" vertical="center"/>
    </xf>
    <xf numFmtId="0" fontId="0" fillId="0" borderId="4" xfId="0" applyBorder="1" applyAlignment="1">
      <alignment horizontal="right" vertical="center"/>
    </xf>
    <xf numFmtId="0" fontId="0" fillId="0" borderId="14" xfId="0" applyBorder="1" applyAlignment="1">
      <alignment horizontal="right" vertical="center"/>
    </xf>
    <xf numFmtId="41" fontId="6" fillId="0" borderId="0" xfId="0" applyNumberFormat="1" applyFont="1" applyAlignment="1">
      <alignment horizontal="right" vertical="center"/>
    </xf>
    <xf numFmtId="41" fontId="6" fillId="4" borderId="6" xfId="0" applyNumberFormat="1" applyFont="1" applyFill="1" applyBorder="1" applyAlignment="1">
      <alignment horizontal="right" vertical="center"/>
    </xf>
    <xf numFmtId="41" fontId="6" fillId="0" borderId="4" xfId="0" applyNumberFormat="1" applyFont="1" applyBorder="1" applyAlignment="1">
      <alignment horizontal="right" vertical="center"/>
    </xf>
    <xf numFmtId="41" fontId="0" fillId="0" borderId="4" xfId="0" applyNumberFormat="1" applyBorder="1" applyAlignment="1">
      <alignment horizontal="right" vertical="center"/>
    </xf>
    <xf numFmtId="14" fontId="0" fillId="0" borderId="4" xfId="0" applyNumberForma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1" fontId="0" fillId="0" borderId="4" xfId="0" applyNumberFormat="1" applyBorder="1" applyAlignment="1">
      <alignment horizontal="center" vertical="center"/>
    </xf>
    <xf numFmtId="0" fontId="9" fillId="0" borderId="0" xfId="0" applyFont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0" fillId="0" borderId="18" xfId="0" applyBorder="1" applyAlignment="1">
      <alignment horizontal="left" vertical="center" indent="1"/>
    </xf>
    <xf numFmtId="0" fontId="0" fillId="0" borderId="9" xfId="0" applyBorder="1" applyAlignment="1">
      <alignment horizontal="left" vertical="center"/>
    </xf>
    <xf numFmtId="0" fontId="3" fillId="0" borderId="2" xfId="0" applyFont="1" applyBorder="1" applyAlignment="1">
      <alignment horizontal="center" vertical="center" wrapText="1"/>
    </xf>
    <xf numFmtId="0" fontId="19" fillId="14" borderId="1" xfId="0" applyFont="1" applyFill="1" applyBorder="1" applyAlignment="1">
      <alignment horizontal="center" vertical="center"/>
    </xf>
    <xf numFmtId="0" fontId="16" fillId="0" borderId="19" xfId="0" applyFont="1" applyBorder="1" applyAlignment="1">
      <alignment horizontal="center" vertical="center"/>
    </xf>
    <xf numFmtId="3" fontId="2" fillId="5" borderId="1" xfId="0" applyNumberFormat="1" applyFont="1" applyFill="1" applyBorder="1" applyAlignment="1">
      <alignment horizontal="center" vertical="center" wrapText="1"/>
    </xf>
    <xf numFmtId="0" fontId="10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</cellXfs>
  <cellStyles count="1">
    <cellStyle name="Normal" xfId="0" builtinId="0"/>
  </cellStyles>
  <dxfs count="35"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indexed="64"/>
          <bgColor rgb="FF0070C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19" formatCode="dd/mm/yyyy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border outline="0">
        <top style="thin">
          <color indexed="64"/>
        </top>
      </border>
    </dxf>
    <dxf>
      <fill>
        <patternFill patternType="solid">
          <fgColor indexed="64"/>
          <bgColor theme="0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 patternType="solid">
          <fgColor indexed="64"/>
          <bgColor theme="0"/>
        </patternFill>
      </fill>
    </dxf>
    <dxf>
      <numFmt numFmtId="33" formatCode="_-* #,##0_-;\-* #,##0_-;_-* &quot;-&quot;_-;_-@_-"/>
      <fill>
        <patternFill patternType="solid">
          <fgColor indexed="64"/>
          <bgColor theme="0"/>
        </patternFill>
      </fill>
    </dxf>
    <dxf>
      <numFmt numFmtId="3" formatCode="#,##0"/>
      <fill>
        <patternFill patternType="solid">
          <fgColor indexed="64"/>
          <bgColor theme="0"/>
        </patternFill>
      </fill>
    </dxf>
    <dxf>
      <numFmt numFmtId="1" formatCode="0"/>
      <fill>
        <patternFill patternType="solid">
          <fgColor indexed="64"/>
          <bgColor theme="0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0"/>
        </patternFill>
      </fill>
    </dxf>
    <dxf>
      <fill>
        <patternFill patternType="solid">
          <fgColor indexed="64"/>
          <bgColor theme="0"/>
        </patternFill>
      </fill>
    </dxf>
    <dxf>
      <numFmt numFmtId="19" formatCode="dd/mm/yyyy"/>
      <fill>
        <patternFill patternType="solid">
          <fgColor indexed="64"/>
          <bgColor theme="0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Times New Roman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border outline="0">
        <top style="thin">
          <color indexed="64"/>
        </top>
      </border>
    </dxf>
    <dxf>
      <fill>
        <patternFill patternType="solid">
          <fgColor indexed="64"/>
          <bgColor theme="0"/>
        </patternFill>
      </fill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33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Kho!A1"/><Relationship Id="rId7" Type="http://schemas.openxmlformats.org/officeDocument/2006/relationships/hyperlink" Target="#BAOCAO!A1"/><Relationship Id="rId2" Type="http://schemas.openxmlformats.org/officeDocument/2006/relationships/hyperlink" Target="#Xuat!A1"/><Relationship Id="rId1" Type="http://schemas.openxmlformats.org/officeDocument/2006/relationships/hyperlink" Target="#Nhap!A1"/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QuanLy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QuanLy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QuanLy!A1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#QuanLy!A1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hyperlink" Target="#QuanLy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142877</xdr:colOff>
      <xdr:row>1</xdr:row>
      <xdr:rowOff>152400</xdr:rowOff>
    </xdr:from>
    <xdr:to>
      <xdr:col>2</xdr:col>
      <xdr:colOff>857251</xdr:colOff>
      <xdr:row>5</xdr:row>
      <xdr:rowOff>0</xdr:rowOff>
    </xdr:to>
    <xdr:sp macro="" textlink="">
      <xdr:nvSpPr>
        <xdr:cNvPr id="2" name="Rounded Rectangl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52477" y="342900"/>
          <a:ext cx="1647824" cy="609600"/>
        </a:xfrm>
        <a:prstGeom prst="roundRect">
          <a:avLst/>
        </a:prstGeom>
        <a:solidFill>
          <a:srgbClr val="FFC000"/>
        </a:solidFill>
        <a:ln w="571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GB" sz="1300" b="1">
              <a:latin typeface="+mj-lt"/>
              <a:cs typeface="Times New Roman" panose="02020603050405020304" pitchFamily="18" charset="0"/>
            </a:rPr>
            <a:t>Nhập</a:t>
          </a:r>
          <a:r>
            <a:rPr lang="en-GB" sz="1300" b="1" baseline="0">
              <a:latin typeface="+mj-lt"/>
              <a:cs typeface="Times New Roman" panose="02020603050405020304" pitchFamily="18" charset="0"/>
            </a:rPr>
            <a:t> vào</a:t>
          </a:r>
        </a:p>
      </xdr:txBody>
    </xdr:sp>
    <xdr:clientData/>
  </xdr:twoCellAnchor>
  <xdr:twoCellAnchor>
    <xdr:from>
      <xdr:col>4</xdr:col>
      <xdr:colOff>304800</xdr:colOff>
      <xdr:row>1</xdr:row>
      <xdr:rowOff>152400</xdr:rowOff>
    </xdr:from>
    <xdr:to>
      <xdr:col>5</xdr:col>
      <xdr:colOff>876300</xdr:colOff>
      <xdr:row>5</xdr:row>
      <xdr:rowOff>0</xdr:rowOff>
    </xdr:to>
    <xdr:sp macro="" textlink="">
      <xdr:nvSpPr>
        <xdr:cNvPr id="5" name="Rounded Rectangle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3600450" y="342900"/>
          <a:ext cx="1504950" cy="609600"/>
        </a:xfrm>
        <a:prstGeom prst="roundRect">
          <a:avLst/>
        </a:prstGeom>
        <a:solidFill>
          <a:srgbClr val="92D050"/>
        </a:solidFill>
        <a:ln w="571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GB" sz="1300" b="1">
              <a:latin typeface="+mj-lt"/>
              <a:cs typeface="Times New Roman" panose="02020603050405020304" pitchFamily="18" charset="0"/>
            </a:rPr>
            <a:t>Xuất ra</a:t>
          </a:r>
          <a:endParaRPr lang="en-GB" sz="1300" b="1" baseline="0">
            <a:latin typeface="+mj-lt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123826</xdr:colOff>
      <xdr:row>1</xdr:row>
      <xdr:rowOff>152400</xdr:rowOff>
    </xdr:from>
    <xdr:to>
      <xdr:col>8</xdr:col>
      <xdr:colOff>647700</xdr:colOff>
      <xdr:row>5</xdr:row>
      <xdr:rowOff>0</xdr:rowOff>
    </xdr:to>
    <xdr:sp macro="" textlink="">
      <xdr:nvSpPr>
        <xdr:cNvPr id="6" name="Rounded Rectangle 5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5972176" y="342900"/>
          <a:ext cx="1457324" cy="609600"/>
        </a:xfrm>
        <a:prstGeom prst="roundRect">
          <a:avLst/>
        </a:prstGeom>
        <a:solidFill>
          <a:srgbClr val="00B0F0"/>
        </a:solidFill>
        <a:ln w="571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300" b="1">
              <a:latin typeface="+mj-lt"/>
              <a:cs typeface="Times New Roman" panose="02020603050405020304" pitchFamily="18" charset="0"/>
            </a:rPr>
            <a:t>            Kho</a:t>
          </a:r>
          <a:endParaRPr lang="en-GB" sz="1300" b="1" baseline="0">
            <a:latin typeface="+mj-lt"/>
            <a:cs typeface="Times New Roman" panose="02020603050405020304" pitchFamily="18" charset="0"/>
          </a:endParaRPr>
        </a:p>
      </xdr:txBody>
    </xdr:sp>
    <xdr:clientData/>
  </xdr:twoCellAnchor>
  <xdr:twoCellAnchor editAs="oneCell">
    <xdr:from>
      <xdr:col>7</xdr:col>
      <xdr:colOff>352425</xdr:colOff>
      <xdr:row>2</xdr:row>
      <xdr:rowOff>47625</xdr:rowOff>
    </xdr:from>
    <xdr:to>
      <xdr:col>7</xdr:col>
      <xdr:colOff>762000</xdr:colOff>
      <xdr:row>4</xdr:row>
      <xdr:rowOff>76200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53250" y="428625"/>
          <a:ext cx="409575" cy="409575"/>
        </a:xfrm>
        <a:prstGeom prst="rect">
          <a:avLst/>
        </a:prstGeom>
      </xdr:spPr>
    </xdr:pic>
    <xdr:clientData/>
  </xdr:twoCellAnchor>
  <xdr:twoCellAnchor editAs="oneCell">
    <xdr:from>
      <xdr:col>4</xdr:col>
      <xdr:colOff>552450</xdr:colOff>
      <xdr:row>2</xdr:row>
      <xdr:rowOff>38100</xdr:rowOff>
    </xdr:from>
    <xdr:to>
      <xdr:col>5</xdr:col>
      <xdr:colOff>47625</xdr:colOff>
      <xdr:row>4</xdr:row>
      <xdr:rowOff>85725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48100" y="419100"/>
          <a:ext cx="428625" cy="428625"/>
        </a:xfrm>
        <a:prstGeom prst="rect">
          <a:avLst/>
        </a:prstGeom>
      </xdr:spPr>
    </xdr:pic>
    <xdr:clientData/>
  </xdr:twoCellAnchor>
  <xdr:twoCellAnchor editAs="oneCell">
    <xdr:from>
      <xdr:col>1</xdr:col>
      <xdr:colOff>323850</xdr:colOff>
      <xdr:row>2</xdr:row>
      <xdr:rowOff>52387</xdr:rowOff>
    </xdr:from>
    <xdr:to>
      <xdr:col>1</xdr:col>
      <xdr:colOff>723900</xdr:colOff>
      <xdr:row>4</xdr:row>
      <xdr:rowOff>71437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450" y="433387"/>
          <a:ext cx="400050" cy="400050"/>
        </a:xfrm>
        <a:prstGeom prst="rect">
          <a:avLst/>
        </a:prstGeom>
      </xdr:spPr>
    </xdr:pic>
    <xdr:clientData/>
  </xdr:twoCellAnchor>
  <xdr:twoCellAnchor>
    <xdr:from>
      <xdr:col>1</xdr:col>
      <xdr:colOff>257177</xdr:colOff>
      <xdr:row>16</xdr:row>
      <xdr:rowOff>190499</xdr:rowOff>
    </xdr:from>
    <xdr:to>
      <xdr:col>2</xdr:col>
      <xdr:colOff>1019175</xdr:colOff>
      <xdr:row>19</xdr:row>
      <xdr:rowOff>28574</xdr:rowOff>
    </xdr:to>
    <xdr:sp macro="[0]!MuaHang" textlink="">
      <xdr:nvSpPr>
        <xdr:cNvPr id="9" name="Rounded 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866777" y="3314699"/>
          <a:ext cx="1695448" cy="409575"/>
        </a:xfrm>
        <a:prstGeom prst="roundRect">
          <a:avLst/>
        </a:prstGeom>
        <a:solidFill>
          <a:srgbClr val="FFC000"/>
        </a:solidFill>
        <a:ln w="571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300" b="1">
              <a:latin typeface="+mj-lt"/>
              <a:cs typeface="Times New Roman" panose="02020603050405020304" pitchFamily="18" charset="0"/>
            </a:rPr>
            <a:t>Nhập</a:t>
          </a:r>
          <a:endParaRPr lang="en-GB" sz="1300" b="1" baseline="0">
            <a:latin typeface="+mj-lt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4</xdr:col>
      <xdr:colOff>447677</xdr:colOff>
      <xdr:row>16</xdr:row>
      <xdr:rowOff>180974</xdr:rowOff>
    </xdr:from>
    <xdr:to>
      <xdr:col>5</xdr:col>
      <xdr:colOff>1171575</xdr:colOff>
      <xdr:row>19</xdr:row>
      <xdr:rowOff>19049</xdr:rowOff>
    </xdr:to>
    <xdr:sp macro="[0]!XuatHang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3648077" y="3305174"/>
          <a:ext cx="1657348" cy="409575"/>
        </a:xfrm>
        <a:prstGeom prst="roundRect">
          <a:avLst/>
        </a:prstGeom>
        <a:solidFill>
          <a:srgbClr val="92D050"/>
        </a:solidFill>
        <a:ln w="57150"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GB" sz="1300" b="1">
              <a:latin typeface="+mj-lt"/>
              <a:cs typeface="Times New Roman" panose="02020603050405020304" pitchFamily="18" charset="0"/>
            </a:rPr>
            <a:t>Xuất</a:t>
          </a:r>
          <a:endParaRPr lang="en-GB" sz="1300" b="1" baseline="0">
            <a:latin typeface="+mj-lt"/>
            <a:cs typeface="Times New Roman" panose="02020603050405020304" pitchFamily="18" charset="0"/>
          </a:endParaRPr>
        </a:p>
      </xdr:txBody>
    </xdr:sp>
    <xdr:clientData/>
  </xdr:twoCellAnchor>
  <xdr:twoCellAnchor>
    <xdr:from>
      <xdr:col>7</xdr:col>
      <xdr:colOff>173935</xdr:colOff>
      <xdr:row>8</xdr:row>
      <xdr:rowOff>215349</xdr:rowOff>
    </xdr:from>
    <xdr:to>
      <xdr:col>8</xdr:col>
      <xdr:colOff>629478</xdr:colOff>
      <xdr:row>10</xdr:row>
      <xdr:rowOff>66262</xdr:rowOff>
    </xdr:to>
    <xdr:sp macro="" textlink="">
      <xdr:nvSpPr>
        <xdr:cNvPr id="3" name="Rounded Rectangle 2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203674" y="1739349"/>
          <a:ext cx="1391478" cy="381000"/>
        </a:xfrm>
        <a:prstGeom prst="roundRect">
          <a:avLst/>
        </a:prstGeom>
        <a:ln w="5715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/>
            <a:t>Báo</a:t>
          </a:r>
          <a:r>
            <a:rPr lang="en-US" sz="1300" b="1" baseline="0"/>
            <a:t> cáo</a:t>
          </a:r>
          <a:endParaRPr lang="en-US" sz="1300" b="1"/>
        </a:p>
      </xdr:txBody>
    </xdr:sp>
    <xdr:clientData/>
  </xdr:twoCellAnchor>
  <xdr:twoCellAnchor>
    <xdr:from>
      <xdr:col>0</xdr:col>
      <xdr:colOff>157369</xdr:colOff>
      <xdr:row>0</xdr:row>
      <xdr:rowOff>157369</xdr:rowOff>
    </xdr:from>
    <xdr:to>
      <xdr:col>9</xdr:col>
      <xdr:colOff>91108</xdr:colOff>
      <xdr:row>20</xdr:row>
      <xdr:rowOff>41413</xdr:rowOff>
    </xdr:to>
    <xdr:sp macro="" textlink="">
      <xdr:nvSpPr>
        <xdr:cNvPr id="11" name="Rounded Rectangle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157369" y="157369"/>
          <a:ext cx="7636565" cy="4787348"/>
        </a:xfrm>
        <a:prstGeom prst="roundRect">
          <a:avLst/>
        </a:prstGeom>
        <a:noFill/>
        <a:ln w="38100">
          <a:solidFill>
            <a:schemeClr val="accent1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314325</xdr:colOff>
      <xdr:row>1</xdr:row>
      <xdr:rowOff>180975</xdr:rowOff>
    </xdr:from>
    <xdr:to>
      <xdr:col>12</xdr:col>
      <xdr:colOff>219075</xdr:colOff>
      <xdr:row>5</xdr:row>
      <xdr:rowOff>28575</xdr:rowOff>
    </xdr:to>
    <xdr:sp macro="" textlink="">
      <xdr:nvSpPr>
        <xdr:cNvPr id="2" name="Left Arrow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782300" y="371475"/>
          <a:ext cx="1123950" cy="704850"/>
        </a:xfrm>
        <a:prstGeom prst="leftArrow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500" b="1"/>
            <a:t>     Trở</a:t>
          </a:r>
          <a:r>
            <a:rPr lang="en-GB" sz="1500" b="1" baseline="0"/>
            <a:t> về</a:t>
          </a:r>
          <a:endParaRPr lang="en-GB" sz="1500" b="1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314325</xdr:colOff>
      <xdr:row>1</xdr:row>
      <xdr:rowOff>9525</xdr:rowOff>
    </xdr:from>
    <xdr:to>
      <xdr:col>10</xdr:col>
      <xdr:colOff>352425</xdr:colOff>
      <xdr:row>4</xdr:row>
      <xdr:rowOff>209550</xdr:rowOff>
    </xdr:to>
    <xdr:sp macro="" textlink="">
      <xdr:nvSpPr>
        <xdr:cNvPr id="3" name="Left Arrow 2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8467725" y="200025"/>
          <a:ext cx="1257300" cy="638175"/>
        </a:xfrm>
        <a:prstGeom prst="leftArrow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500" b="1"/>
            <a:t>     Trở</a:t>
          </a:r>
          <a:r>
            <a:rPr lang="en-GB" sz="1500" b="1" baseline="0"/>
            <a:t> về</a:t>
          </a:r>
          <a:endParaRPr lang="en-GB" sz="15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28575</xdr:colOff>
      <xdr:row>1</xdr:row>
      <xdr:rowOff>161925</xdr:rowOff>
    </xdr:from>
    <xdr:to>
      <xdr:col>12</xdr:col>
      <xdr:colOff>66675</xdr:colOff>
      <xdr:row>5</xdr:row>
      <xdr:rowOff>9525</xdr:rowOff>
    </xdr:to>
    <xdr:sp macro="" textlink="">
      <xdr:nvSpPr>
        <xdr:cNvPr id="2" name="Left Arrow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877050" y="352425"/>
          <a:ext cx="1257300" cy="819150"/>
        </a:xfrm>
        <a:prstGeom prst="leftArrow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500" b="1"/>
            <a:t>     Trở</a:t>
          </a:r>
          <a:r>
            <a:rPr lang="en-GB" sz="1500" b="1" baseline="0"/>
            <a:t> về</a:t>
          </a:r>
          <a:endParaRPr lang="en-GB" sz="1500" b="1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333375</xdr:colOff>
      <xdr:row>0</xdr:row>
      <xdr:rowOff>161925</xdr:rowOff>
    </xdr:from>
    <xdr:to>
      <xdr:col>14</xdr:col>
      <xdr:colOff>371475</xdr:colOff>
      <xdr:row>3</xdr:row>
      <xdr:rowOff>114300</xdr:rowOff>
    </xdr:to>
    <xdr:sp macro="" textlink="">
      <xdr:nvSpPr>
        <xdr:cNvPr id="2" name="Left Arrow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429625" y="161925"/>
          <a:ext cx="1409700" cy="714375"/>
        </a:xfrm>
        <a:prstGeom prst="leftArrow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500" b="1"/>
            <a:t>     Trở</a:t>
          </a:r>
          <a:r>
            <a:rPr lang="en-GB" sz="1500" b="1" baseline="0"/>
            <a:t> về</a:t>
          </a:r>
          <a:endParaRPr lang="en-GB" sz="1500" b="1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104776</xdr:colOff>
      <xdr:row>7</xdr:row>
      <xdr:rowOff>180975</xdr:rowOff>
    </xdr:from>
    <xdr:to>
      <xdr:col>17</xdr:col>
      <xdr:colOff>1304926</xdr:colOff>
      <xdr:row>10</xdr:row>
      <xdr:rowOff>9525</xdr:rowOff>
    </xdr:to>
    <xdr:sp macro="[0]!Filter_Nhap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11306176" y="1714500"/>
          <a:ext cx="1200150" cy="409575"/>
        </a:xfrm>
        <a:prstGeom prst="roundRect">
          <a:avLst/>
        </a:prstGeom>
        <a:ln/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500" b="1"/>
            <a:t>Tìm</a:t>
          </a:r>
          <a:r>
            <a:rPr lang="en-US" sz="1500" b="1" baseline="0"/>
            <a:t> kiếm</a:t>
          </a:r>
          <a:endParaRPr lang="en-US" sz="1500" b="1"/>
        </a:p>
      </xdr:txBody>
    </xdr:sp>
    <xdr:clientData/>
  </xdr:twoCellAnchor>
  <xdr:twoCellAnchor>
    <xdr:from>
      <xdr:col>17</xdr:col>
      <xdr:colOff>9525</xdr:colOff>
      <xdr:row>0</xdr:row>
      <xdr:rowOff>171450</xdr:rowOff>
    </xdr:from>
    <xdr:to>
      <xdr:col>17</xdr:col>
      <xdr:colOff>1190625</xdr:colOff>
      <xdr:row>2</xdr:row>
      <xdr:rowOff>171450</xdr:rowOff>
    </xdr:to>
    <xdr:sp macro="[0]!Clear_Filter_Baocao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4925675" y="171450"/>
          <a:ext cx="1181100" cy="409575"/>
        </a:xfrm>
        <a:prstGeom prst="rect">
          <a:avLst/>
        </a:prstGeom>
        <a:ln w="38100">
          <a:solidFill>
            <a:schemeClr val="bg1"/>
          </a:solidFill>
        </a:ln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300" b="1"/>
            <a:t>Làm</a:t>
          </a:r>
          <a:r>
            <a:rPr lang="en-US" sz="1300" b="1" baseline="0"/>
            <a:t> mới</a:t>
          </a:r>
          <a:endParaRPr lang="en-US" sz="1300" b="1"/>
        </a:p>
      </xdr:txBody>
    </xdr:sp>
    <xdr:clientData/>
  </xdr:twoCellAnchor>
  <xdr:twoCellAnchor>
    <xdr:from>
      <xdr:col>17</xdr:col>
      <xdr:colOff>47625</xdr:colOff>
      <xdr:row>11</xdr:row>
      <xdr:rowOff>104775</xdr:rowOff>
    </xdr:from>
    <xdr:to>
      <xdr:col>17</xdr:col>
      <xdr:colOff>1304925</xdr:colOff>
      <xdr:row>14</xdr:row>
      <xdr:rowOff>142875</xdr:rowOff>
    </xdr:to>
    <xdr:sp macro="" textlink="">
      <xdr:nvSpPr>
        <xdr:cNvPr id="4" name="Left Arrow 3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12058650" y="2409825"/>
          <a:ext cx="1257300" cy="609600"/>
        </a:xfrm>
        <a:prstGeom prst="leftArrow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GB" sz="1500" b="1"/>
            <a:t>     Trở</a:t>
          </a:r>
          <a:r>
            <a:rPr lang="en-GB" sz="1500" b="1" baseline="0"/>
            <a:t> về</a:t>
          </a:r>
          <a:endParaRPr lang="en-GB" sz="1500" b="1"/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bl_nhap" displayName="tbl_nhap" ref="B5:J11" totalsRowShown="0" headerRowDxfId="28" dataDxfId="26" headerRowBorderDxfId="27" tableBorderDxfId="25">
  <sortState xmlns:xlrd2="http://schemas.microsoft.com/office/spreadsheetml/2017/richdata2" ref="B4:J7">
    <sortCondition descending="1" ref="C3:C7"/>
  </sortState>
  <tableColumns count="9">
    <tableColumn id="9" xr3:uid="{00000000-0010-0000-0000-000009000000}" name="Nhà CC" dataDxfId="24"/>
    <tableColumn id="2" xr3:uid="{00000000-0010-0000-0000-000002000000}" name="Ngày nhập" dataDxfId="23"/>
    <tableColumn id="3" xr3:uid="{00000000-0010-0000-0000-000003000000}" name="Mã sản phẩm" dataDxfId="22"/>
    <tableColumn id="4" xr3:uid="{00000000-0010-0000-0000-000004000000}" name="Tên sản phẩm" dataDxfId="21"/>
    <tableColumn id="10" xr3:uid="{00000000-0010-0000-0000-00000A000000}" name="Đơn vị tính" dataDxfId="20"/>
    <tableColumn id="5" xr3:uid="{00000000-0010-0000-0000-000005000000}" name="Số lượng" dataDxfId="19"/>
    <tableColumn id="6" xr3:uid="{00000000-0010-0000-0000-000006000000}" name="Đơn giá" dataDxfId="18"/>
    <tableColumn id="7" xr3:uid="{00000000-0010-0000-0000-000007000000}" name="Thành tiền" dataDxfId="17"/>
    <tableColumn id="8" xr3:uid="{00000000-0010-0000-0000-000008000000}" name="Mục đích" dataDxfId="16"/>
  </tableColumns>
  <tableStyleInfo name="TableStyleLight1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tbl_Xuat" displayName="tbl_Xuat" ref="A2:H8" totalsRowShown="0" headerRowDxfId="15" dataDxfId="13" headerRowBorderDxfId="14" tableBorderDxfId="12">
  <autoFilter ref="A2:H8" xr:uid="{00000000-0009-0000-0100-000003000000}"/>
  <sortState xmlns:xlrd2="http://schemas.microsoft.com/office/spreadsheetml/2017/richdata2" ref="A3:G4">
    <sortCondition descending="1" ref="B3:B4"/>
  </sortState>
  <tableColumns count="8">
    <tableColumn id="1" xr3:uid="{00000000-0010-0000-0100-000001000000}" name="STT" dataDxfId="11"/>
    <tableColumn id="2" xr3:uid="{00000000-0010-0000-0100-000002000000}" name="Ngày xuất" dataDxfId="10"/>
    <tableColumn id="3" xr3:uid="{00000000-0010-0000-0100-000003000000}" name="Mã sản phẩm" dataDxfId="9"/>
    <tableColumn id="4" xr3:uid="{00000000-0010-0000-0100-000004000000}" name="Tên sản phẩm" dataDxfId="8"/>
    <tableColumn id="9" xr3:uid="{00000000-0010-0000-0100-000009000000}" name="Đơn vị tính"/>
    <tableColumn id="5" xr3:uid="{00000000-0010-0000-0100-000005000000}" name="Số lượng" dataDxfId="7"/>
    <tableColumn id="6" xr3:uid="{00000000-0010-0000-0100-000006000000}" name="Mục đích" dataDxfId="6"/>
    <tableColumn id="8" xr3:uid="{00000000-0010-0000-0100-000008000000}" name="Ghi chú" dataDxfId="5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Danhmucsp" displayName="tbl_Danhmucsp" ref="A3:D200" totalsRowShown="0" headerRowDxfId="4">
  <autoFilter ref="A3:D200" xr:uid="{00000000-0009-0000-0100-000001000000}"/>
  <tableColumns count="4">
    <tableColumn id="1" xr3:uid="{00000000-0010-0000-0200-000001000000}" name="STT" dataDxfId="3"/>
    <tableColumn id="2" xr3:uid="{00000000-0010-0000-0200-000002000000}" name="Mã sản phẩm"/>
    <tableColumn id="4" xr3:uid="{00000000-0010-0000-0200-000004000000}" name="Tên sản phẩm"/>
    <tableColumn id="3" xr3:uid="{00000000-0010-0000-0200-000003000000}" name="Đơn vị tính" dataDxfId="2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bl_Khanhhang" displayName="Tbl_Khanhhang" ref="F3:H13" totalsRowShown="0" headerRowDxfId="1">
  <autoFilter ref="F3:H13" xr:uid="{00000000-0009-0000-0100-000004000000}"/>
  <tableColumns count="3">
    <tableColumn id="1" xr3:uid="{00000000-0010-0000-0300-000001000000}" name="STT" dataDxfId="0"/>
    <tableColumn id="2" xr3:uid="{00000000-0010-0000-0300-000002000000}" name="Mã NCC"/>
    <tableColumn id="3" xr3:uid="{00000000-0010-0000-0300-000003000000}" name="Tên NCC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21"/>
  <sheetViews>
    <sheetView zoomScale="115" zoomScaleNormal="115" workbookViewId="0">
      <selection activeCell="H15" sqref="H15"/>
    </sheetView>
  </sheetViews>
  <sheetFormatPr defaultRowHeight="15" x14ac:dyDescent="0.25"/>
  <cols>
    <col min="1" max="1" width="5.140625" customWidth="1"/>
    <col min="2" max="2" width="14" customWidth="1"/>
    <col min="3" max="3" width="22.7109375" customWidth="1"/>
    <col min="4" max="4" width="3.5703125" customWidth="1"/>
    <col min="5" max="5" width="14" customWidth="1"/>
    <col min="6" max="6" width="23.85546875" customWidth="1"/>
    <col min="7" max="7" width="3" customWidth="1"/>
    <col min="8" max="8" width="14" customWidth="1"/>
    <col min="9" max="9" width="15.140625" customWidth="1"/>
    <col min="10" max="10" width="3" customWidth="1"/>
  </cols>
  <sheetData>
    <row r="1" spans="1:10" x14ac:dyDescent="0.25">
      <c r="A1" s="4"/>
      <c r="B1" s="4"/>
      <c r="C1" s="4"/>
      <c r="D1" s="4"/>
      <c r="E1" s="4"/>
      <c r="F1" s="4"/>
      <c r="G1" s="4"/>
      <c r="H1" s="4"/>
      <c r="I1" s="4"/>
      <c r="J1" s="4"/>
    </row>
    <row r="2" spans="1:10" x14ac:dyDescent="0.25">
      <c r="A2" s="4"/>
      <c r="B2" s="4"/>
      <c r="C2" s="4"/>
      <c r="D2" s="4"/>
      <c r="E2" s="4"/>
      <c r="F2" s="4"/>
      <c r="G2" s="4"/>
      <c r="H2" s="4"/>
      <c r="I2" s="4"/>
      <c r="J2" s="4"/>
    </row>
    <row r="3" spans="1:10" x14ac:dyDescent="0.25">
      <c r="A3" s="4"/>
      <c r="B3" s="4"/>
      <c r="C3" s="4"/>
      <c r="D3" s="4"/>
      <c r="E3" s="4"/>
      <c r="F3" s="4"/>
      <c r="G3" s="4"/>
      <c r="H3" s="4"/>
      <c r="I3" s="4"/>
      <c r="J3" s="4"/>
    </row>
    <row r="4" spans="1:10" x14ac:dyDescent="0.25">
      <c r="A4" s="4"/>
      <c r="B4" s="4"/>
      <c r="C4" s="4"/>
      <c r="D4" s="4"/>
      <c r="E4" s="4"/>
      <c r="F4" s="4"/>
      <c r="G4" s="4"/>
      <c r="H4" s="4"/>
      <c r="I4" s="4"/>
      <c r="J4" s="4"/>
    </row>
    <row r="5" spans="1:10" x14ac:dyDescent="0.25">
      <c r="A5" s="4"/>
      <c r="B5" s="4"/>
      <c r="C5" s="4"/>
      <c r="D5" s="4"/>
      <c r="E5" s="4"/>
      <c r="F5" s="4"/>
      <c r="G5" s="4"/>
      <c r="H5" s="4"/>
      <c r="I5" s="4"/>
      <c r="J5" s="4"/>
    </row>
    <row r="6" spans="1:10" x14ac:dyDescent="0.25">
      <c r="A6" s="4"/>
      <c r="B6" s="4"/>
      <c r="C6" s="4"/>
      <c r="D6" s="4"/>
      <c r="E6" s="4"/>
      <c r="F6" s="4"/>
      <c r="G6" s="4"/>
      <c r="H6" s="4"/>
      <c r="I6" s="4"/>
      <c r="J6" s="4"/>
    </row>
    <row r="7" spans="1:10" x14ac:dyDescent="0.25">
      <c r="A7" s="4"/>
      <c r="B7" s="4"/>
      <c r="C7" s="4"/>
      <c r="D7" s="4"/>
      <c r="E7" s="4"/>
      <c r="F7" s="4"/>
      <c r="G7" s="4"/>
      <c r="H7" s="4"/>
      <c r="I7" s="4"/>
      <c r="J7" s="4"/>
    </row>
    <row r="8" spans="1:10" ht="18.75" customHeight="1" x14ac:dyDescent="0.25">
      <c r="A8" s="4"/>
      <c r="B8" s="86" t="s">
        <v>30</v>
      </c>
      <c r="C8" s="85" t="s">
        <v>32</v>
      </c>
      <c r="D8" s="4"/>
      <c r="E8" s="4"/>
      <c r="F8" s="4"/>
      <c r="G8" s="4"/>
      <c r="H8" s="4"/>
      <c r="I8" s="4"/>
      <c r="J8" s="4"/>
    </row>
    <row r="9" spans="1:10" s="3" customFormat="1" ht="21" customHeight="1" x14ac:dyDescent="0.25">
      <c r="A9" s="5"/>
      <c r="B9" s="81" t="s">
        <v>4</v>
      </c>
      <c r="C9" s="33"/>
      <c r="D9" s="5"/>
      <c r="E9" s="5"/>
      <c r="F9" s="5"/>
      <c r="G9" s="5"/>
      <c r="H9" s="5"/>
      <c r="I9" s="5"/>
      <c r="J9" s="5"/>
    </row>
    <row r="10" spans="1:10" s="3" customFormat="1" ht="21" customHeight="1" x14ac:dyDescent="0.25">
      <c r="A10" s="5"/>
      <c r="B10" s="81" t="s">
        <v>0</v>
      </c>
      <c r="C10" s="6" t="s">
        <v>45</v>
      </c>
      <c r="D10" s="5"/>
      <c r="E10" s="7" t="s">
        <v>5</v>
      </c>
      <c r="F10" s="33"/>
      <c r="G10" s="5"/>
      <c r="H10" s="5"/>
      <c r="I10" s="5"/>
      <c r="J10" s="5"/>
    </row>
    <row r="11" spans="1:10" s="3" customFormat="1" ht="21" customHeight="1" x14ac:dyDescent="0.25">
      <c r="A11" s="5"/>
      <c r="B11" s="81" t="s">
        <v>1</v>
      </c>
      <c r="C11" s="6" t="str">
        <f>IFERROR(INDEX(tbl_Danhmucsp[],MATCH(C$10,DanhMucSP!$B$4:$B$200,0),3),"Not Found")</f>
        <v>Phấn viết</v>
      </c>
      <c r="D11" s="5"/>
      <c r="E11" s="7" t="s">
        <v>0</v>
      </c>
      <c r="F11" s="6"/>
      <c r="G11" s="5"/>
      <c r="H11" s="5"/>
      <c r="I11" s="5"/>
      <c r="J11" s="5"/>
    </row>
    <row r="12" spans="1:10" s="3" customFormat="1" ht="21" customHeight="1" x14ac:dyDescent="0.25">
      <c r="A12" s="5"/>
      <c r="B12" s="81" t="s">
        <v>25</v>
      </c>
      <c r="C12" s="6" t="str">
        <f>IFERROR(INDEX(tbl_Danhmucsp[],MATCH(C$10,DanhMucSP!$B$4:$B$200,0),4),"Not Found")</f>
        <v>Hộp</v>
      </c>
      <c r="D12" s="5"/>
      <c r="E12" s="7" t="s">
        <v>1</v>
      </c>
      <c r="F12" s="6" t="str">
        <f>IFERROR(INDEX(tbl_Danhmucsp[],MATCH(F$11,DanhMucSP!$B$4:$B$200,0),3),"Not Found")</f>
        <v>Not Found</v>
      </c>
      <c r="G12" s="5"/>
      <c r="H12" s="82" t="s">
        <v>17</v>
      </c>
      <c r="I12" s="84" t="str">
        <f>IFERROR(VLOOKUP($F$11,Kho!$B$10:$L$24,10,FALSE),"Not Found")</f>
        <v>Not Found</v>
      </c>
      <c r="J12" s="5"/>
    </row>
    <row r="13" spans="1:10" s="3" customFormat="1" ht="21" customHeight="1" x14ac:dyDescent="0.25">
      <c r="A13" s="5"/>
      <c r="B13" s="81" t="s">
        <v>2</v>
      </c>
      <c r="C13" s="18"/>
      <c r="D13" s="5"/>
      <c r="E13" s="7" t="s">
        <v>25</v>
      </c>
      <c r="F13" s="6" t="str">
        <f>IFERROR(INDEX(tbl_Danhmucsp[],MATCH(F$11,DanhMucSP!$B$4:$B$200,0),4),"Not Found")</f>
        <v>Not Found</v>
      </c>
      <c r="G13" s="5"/>
      <c r="H13" s="83" t="s">
        <v>27</v>
      </c>
      <c r="I13" s="79" t="str">
        <f>IFERROR(VLOOKUP($F$11,Kho!$B$10:$L$24,4,FALSE),"Not Found")</f>
        <v>Not Found</v>
      </c>
      <c r="J13" s="5"/>
    </row>
    <row r="14" spans="1:10" s="3" customFormat="1" ht="21" customHeight="1" x14ac:dyDescent="0.25">
      <c r="A14" s="5"/>
      <c r="B14" s="81" t="s">
        <v>3</v>
      </c>
      <c r="C14" s="17"/>
      <c r="D14" s="5"/>
      <c r="E14" s="7" t="s">
        <v>2</v>
      </c>
      <c r="F14" s="80"/>
      <c r="G14" s="5"/>
      <c r="H14" s="5"/>
      <c r="I14" s="5"/>
      <c r="J14" s="5"/>
    </row>
    <row r="15" spans="1:10" s="3" customFormat="1" ht="21" customHeight="1" x14ac:dyDescent="0.25">
      <c r="A15" s="5"/>
      <c r="B15" s="81" t="s">
        <v>11</v>
      </c>
      <c r="C15" s="16">
        <f>C13*C14</f>
        <v>0</v>
      </c>
      <c r="D15" s="57"/>
      <c r="E15" s="7" t="s">
        <v>6</v>
      </c>
      <c r="F15" s="19" t="s">
        <v>34</v>
      </c>
      <c r="G15" s="5"/>
      <c r="H15" s="5"/>
      <c r="I15" s="5"/>
      <c r="J15" s="5"/>
    </row>
    <row r="16" spans="1:10" s="3" customFormat="1" ht="55.5" customHeight="1" x14ac:dyDescent="0.25">
      <c r="A16" s="5"/>
      <c r="B16" s="81" t="s">
        <v>6</v>
      </c>
      <c r="C16" s="8"/>
      <c r="D16" s="5"/>
      <c r="E16" s="7" t="s">
        <v>10</v>
      </c>
      <c r="F16" s="8"/>
      <c r="G16" s="5"/>
      <c r="H16" s="5"/>
      <c r="I16" s="5"/>
      <c r="J16" s="5"/>
    </row>
    <row r="17" spans="1:10" ht="15.75" x14ac:dyDescent="0.25">
      <c r="A17" s="4"/>
      <c r="B17" s="4"/>
      <c r="C17" s="32"/>
      <c r="D17" s="4"/>
      <c r="E17" s="4"/>
      <c r="F17" s="4"/>
      <c r="G17" s="4"/>
      <c r="H17" s="4"/>
      <c r="I17" s="4"/>
      <c r="J17" s="4"/>
    </row>
    <row r="18" spans="1:10" x14ac:dyDescent="0.25">
      <c r="A18" s="4"/>
      <c r="B18" s="4"/>
      <c r="C18" s="4"/>
      <c r="D18" s="4"/>
      <c r="E18" s="4"/>
      <c r="F18" s="4"/>
      <c r="G18" s="4"/>
      <c r="H18" s="4"/>
      <c r="I18" s="4"/>
      <c r="J18" s="4"/>
    </row>
    <row r="19" spans="1:10" x14ac:dyDescent="0.25">
      <c r="A19" s="4"/>
      <c r="B19" s="4"/>
      <c r="C19" s="4"/>
      <c r="D19" s="4"/>
      <c r="E19" s="4"/>
      <c r="F19" s="4"/>
      <c r="G19" s="4"/>
      <c r="H19" s="4"/>
      <c r="I19" s="4"/>
      <c r="J19" s="4"/>
    </row>
    <row r="20" spans="1:10" x14ac:dyDescent="0.25">
      <c r="A20" s="4"/>
      <c r="B20" s="4"/>
      <c r="C20" s="4"/>
      <c r="D20" s="4"/>
      <c r="E20" s="4"/>
      <c r="F20" s="4"/>
      <c r="G20" s="4"/>
      <c r="H20" s="4"/>
      <c r="I20" s="4"/>
      <c r="J20" s="4"/>
    </row>
    <row r="21" spans="1:10" x14ac:dyDescent="0.25">
      <c r="A21" s="4"/>
      <c r="B21" s="4"/>
      <c r="C21" s="4"/>
      <c r="D21" s="4"/>
      <c r="E21" s="4"/>
      <c r="F21" s="4"/>
      <c r="G21" s="4"/>
      <c r="H21" s="4"/>
      <c r="I21" s="4"/>
      <c r="J21" s="4"/>
    </row>
  </sheetData>
  <conditionalFormatting sqref="C9">
    <cfRule type="expression" dxfId="34" priority="6" stopIfTrue="1">
      <formula>IF($C$9&lt;&gt;"",ISNUMBER($C$9),TRUE)=FALSE</formula>
    </cfRule>
  </conditionalFormatting>
  <conditionalFormatting sqref="F10">
    <cfRule type="expression" dxfId="33" priority="5" stopIfTrue="1">
      <formula>IF($F$10&lt;&gt;"",ISNUMBER($F$10),TRUE)=FALSE</formula>
    </cfRule>
  </conditionalFormatting>
  <conditionalFormatting sqref="C14:C15">
    <cfRule type="expression" dxfId="32" priority="4" stopIfTrue="1">
      <formula>IF($C14&lt;&gt;"",ISNUMBER($C14),TRUE)=FALSE</formula>
    </cfRule>
  </conditionalFormatting>
  <conditionalFormatting sqref="F14">
    <cfRule type="expression" dxfId="31" priority="3" stopIfTrue="1">
      <formula>IF($F14&lt;&gt;"",ISNUMBER($F14),TRUE)=FALSE</formula>
    </cfRule>
  </conditionalFormatting>
  <conditionalFormatting sqref="F15">
    <cfRule type="expression" dxfId="30" priority="8" stopIfTrue="1">
      <formula>IF($F16&lt;&gt;"",ISNUMBER($F16),TRUE)=FALSE</formula>
    </cfRule>
  </conditionalFormatting>
  <conditionalFormatting sqref="C13">
    <cfRule type="expression" dxfId="29" priority="2" stopIfTrue="1">
      <formula>IF($C13&lt;&gt;"",ISNUMBER($C13),TRUE)=FALSE</formula>
    </cfRule>
  </conditionalFormatting>
  <conditionalFormatting sqref="I12">
    <cfRule type="dataBar" priority="1">
      <dataBar>
        <cfvo type="num" val="0"/>
        <cfvo type="formula" val="$I$13"/>
        <color rgb="FF00B0F0"/>
      </dataBar>
      <extLst>
        <ext xmlns:x14="http://schemas.microsoft.com/office/spreadsheetml/2009/9/main" uri="{B025F937-C7B1-47D3-B67F-A62EFF666E3E}">
          <x14:id>{D8672FDE-740B-4202-B8D9-4BA9801241C4}</x14:id>
        </ext>
      </extLst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8672FDE-740B-4202-B8D9-4BA9801241C4}">
            <x14:dataBar minLength="0" maxLength="100">
              <x14:cfvo type="num">
                <xm:f>0</xm:f>
              </x14:cfvo>
              <x14:cfvo type="formula">
                <xm:f>$I$13</xm:f>
              </x14:cfvo>
              <x14:negativeFillColor rgb="FFFF0000"/>
              <x14:axisColor rgb="FF000000"/>
            </x14:dataBar>
          </x14:cfRule>
          <xm:sqref>I12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errorTitle="Không tìm thấy" error="Không thuộc danh mục sản phẩm" xr:uid="{00000000-0002-0000-0000-000000000000}">
          <x14:formula1>
            <xm:f>OFFSET(DanhMucSP!$B$4,0,0,300)</xm:f>
          </x14:formula1>
          <xm:sqref>C10</xm:sqref>
        </x14:dataValidation>
        <x14:dataValidation type="list" errorStyle="warning" allowBlank="1" showInputMessage="1" showErrorMessage="1" errorTitle="Cảnh báo" error="Nhà Cung cấp không có trong danh sách" xr:uid="{00000000-0002-0000-0000-000001000000}">
          <x14:formula1>
            <xm:f>OFFSET(DanhMucSP!$H$4,0,0,30)</xm:f>
          </x14:formula1>
          <xm:sqref>C8</xm:sqref>
        </x14:dataValidation>
        <x14:dataValidation type="list" errorStyle="information" allowBlank="1" showInputMessage="1" showErrorMessage="1" errorTitle="Lưu ý" error="Mã hàng không có trong danh mục" xr:uid="{00000000-0002-0000-0000-000002000000}">
          <x14:formula1>
            <xm:f>DanhMucSP!$B$4:$B$1000</xm:f>
          </x14:formula1>
          <xm:sqref>F11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J11"/>
  <sheetViews>
    <sheetView workbookViewId="0">
      <pane ySplit="5" topLeftCell="A6" activePane="bottomLeft" state="frozen"/>
      <selection pane="bottomLeft" activeCell="B6" sqref="B6"/>
    </sheetView>
  </sheetViews>
  <sheetFormatPr defaultRowHeight="15" x14ac:dyDescent="0.25"/>
  <cols>
    <col min="1" max="1" width="5.140625" style="1" customWidth="1"/>
    <col min="2" max="2" width="16.42578125" style="88" customWidth="1"/>
    <col min="3" max="3" width="14.85546875" style="22" customWidth="1"/>
    <col min="4" max="4" width="20.5703125" customWidth="1"/>
    <col min="5" max="5" width="20.28515625" customWidth="1"/>
    <col min="6" max="6" width="12.140625" customWidth="1"/>
    <col min="7" max="7" width="12" style="24" customWidth="1"/>
    <col min="8" max="8" width="14.85546875" style="9" customWidth="1"/>
    <col min="9" max="9" width="16.5703125" style="27" customWidth="1"/>
    <col min="10" max="10" width="28.7109375" customWidth="1"/>
  </cols>
  <sheetData>
    <row r="2" spans="1:10" ht="17.25" x14ac:dyDescent="0.25">
      <c r="I2" s="39"/>
    </row>
    <row r="3" spans="1:10" ht="17.25" x14ac:dyDescent="0.25">
      <c r="I3" s="39"/>
    </row>
    <row r="4" spans="1:10" ht="17.25" x14ac:dyDescent="0.25">
      <c r="I4" s="39"/>
    </row>
    <row r="5" spans="1:10" ht="15.75" x14ac:dyDescent="0.25">
      <c r="A5" s="135" t="s">
        <v>7</v>
      </c>
      <c r="B5" s="136" t="s">
        <v>33</v>
      </c>
      <c r="C5" s="44" t="s">
        <v>4</v>
      </c>
      <c r="D5" s="45" t="s">
        <v>0</v>
      </c>
      <c r="E5" s="45" t="s">
        <v>1</v>
      </c>
      <c r="F5" s="45" t="s">
        <v>25</v>
      </c>
      <c r="G5" s="46" t="s">
        <v>2</v>
      </c>
      <c r="H5" s="47" t="s">
        <v>3</v>
      </c>
      <c r="I5" s="48" t="s">
        <v>11</v>
      </c>
      <c r="J5" s="45" t="s">
        <v>6</v>
      </c>
    </row>
    <row r="6" spans="1:10" ht="15.75" x14ac:dyDescent="0.25">
      <c r="A6" s="11"/>
      <c r="B6" s="89"/>
      <c r="C6" s="49"/>
      <c r="D6" s="50"/>
      <c r="E6" s="50"/>
      <c r="F6" s="50"/>
      <c r="G6" s="51"/>
      <c r="H6" s="52"/>
      <c r="I6" s="53"/>
      <c r="J6" s="50"/>
    </row>
    <row r="7" spans="1:10" ht="15.75" x14ac:dyDescent="0.25">
      <c r="A7" s="11"/>
      <c r="B7" s="89"/>
      <c r="C7" s="49"/>
      <c r="D7" s="50"/>
      <c r="E7" s="50"/>
      <c r="F7" s="51"/>
      <c r="G7" s="51"/>
      <c r="H7" s="52"/>
      <c r="I7" s="53"/>
      <c r="J7" s="50"/>
    </row>
    <row r="8" spans="1:10" ht="15.75" x14ac:dyDescent="0.25">
      <c r="A8" s="11"/>
      <c r="B8" s="89"/>
      <c r="C8" s="49"/>
      <c r="D8" s="50"/>
      <c r="E8" s="50"/>
      <c r="F8" s="51"/>
      <c r="G8" s="51"/>
      <c r="H8" s="52"/>
      <c r="I8" s="53"/>
      <c r="J8" s="50"/>
    </row>
    <row r="9" spans="1:10" ht="15.75" x14ac:dyDescent="0.25">
      <c r="A9" s="11"/>
      <c r="B9" s="89"/>
      <c r="C9" s="49"/>
      <c r="D9" s="50"/>
      <c r="E9" s="50"/>
      <c r="F9" s="51"/>
      <c r="G9" s="51"/>
      <c r="H9" s="52"/>
      <c r="I9" s="53"/>
      <c r="J9" s="50"/>
    </row>
    <row r="10" spans="1:10" ht="15.75" x14ac:dyDescent="0.25">
      <c r="A10" s="11"/>
      <c r="B10" s="90"/>
      <c r="C10" s="28"/>
      <c r="D10" s="20"/>
      <c r="E10" s="20"/>
      <c r="F10" s="29"/>
      <c r="G10" s="29"/>
      <c r="H10" s="30"/>
      <c r="I10" s="31"/>
      <c r="J10" s="20"/>
    </row>
    <row r="11" spans="1:10" x14ac:dyDescent="0.25">
      <c r="A11" s="11"/>
      <c r="B11" s="91"/>
      <c r="C11" s="21"/>
      <c r="D11" s="10"/>
      <c r="E11" s="10"/>
      <c r="F11" s="10"/>
      <c r="G11" s="23"/>
      <c r="H11" s="25"/>
      <c r="I11" s="26"/>
      <c r="J11" s="10"/>
    </row>
  </sheetData>
  <pageMargins left="0.7" right="0.7" top="0.75" bottom="0.75" header="0.3" footer="0.3"/>
  <pageSetup paperSize="9" orientation="portrait" horizontalDpi="0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2:H8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/>
    </sheetView>
  </sheetViews>
  <sheetFormatPr defaultRowHeight="15" x14ac:dyDescent="0.25"/>
  <cols>
    <col min="1" max="1" width="5.5703125" customWidth="1"/>
    <col min="2" max="2" width="15.28515625" style="22" customWidth="1"/>
    <col min="3" max="3" width="16.28515625" customWidth="1"/>
    <col min="4" max="4" width="18.140625" customWidth="1"/>
    <col min="5" max="5" width="10" customWidth="1"/>
    <col min="6" max="6" width="11.85546875" customWidth="1"/>
    <col min="7" max="7" width="24.28515625" customWidth="1"/>
    <col min="8" max="8" width="18.85546875" customWidth="1"/>
    <col min="12" max="12" width="12.140625" customWidth="1"/>
  </cols>
  <sheetData>
    <row r="2" spans="1:8" ht="27" customHeight="1" x14ac:dyDescent="0.25">
      <c r="A2" s="42" t="s">
        <v>7</v>
      </c>
      <c r="B2" s="58" t="s">
        <v>5</v>
      </c>
      <c r="C2" s="43" t="s">
        <v>0</v>
      </c>
      <c r="D2" s="43" t="s">
        <v>1</v>
      </c>
      <c r="E2" s="134" t="s">
        <v>25</v>
      </c>
      <c r="F2" s="43" t="s">
        <v>2</v>
      </c>
      <c r="G2" s="43" t="s">
        <v>6</v>
      </c>
      <c r="H2" s="43" t="s">
        <v>10</v>
      </c>
    </row>
    <row r="3" spans="1:8" ht="17.25" customHeight="1" x14ac:dyDescent="0.25">
      <c r="A3" s="54"/>
      <c r="B3" s="60"/>
      <c r="C3" s="55"/>
      <c r="D3" s="55"/>
      <c r="E3" s="55"/>
      <c r="F3" s="55"/>
      <c r="G3" s="55"/>
      <c r="H3" s="55"/>
    </row>
    <row r="4" spans="1:8" ht="17.25" customHeight="1" x14ac:dyDescent="0.25">
      <c r="A4" s="54"/>
      <c r="B4" s="60"/>
      <c r="C4" s="55"/>
      <c r="D4" s="55"/>
      <c r="E4" s="55"/>
      <c r="F4" s="55"/>
      <c r="G4" s="55"/>
      <c r="H4" s="55"/>
    </row>
    <row r="5" spans="1:8" ht="17.25" customHeight="1" x14ac:dyDescent="0.25">
      <c r="A5" s="54"/>
      <c r="B5" s="60"/>
      <c r="C5" s="55"/>
      <c r="D5" s="55"/>
      <c r="E5" s="55"/>
      <c r="F5" s="55"/>
      <c r="G5" s="55"/>
      <c r="H5" s="55"/>
    </row>
    <row r="6" spans="1:8" ht="17.25" customHeight="1" x14ac:dyDescent="0.25">
      <c r="A6" s="54"/>
      <c r="B6" s="60"/>
      <c r="C6" s="55"/>
      <c r="D6" s="55"/>
      <c r="E6" s="55"/>
      <c r="F6" s="55"/>
      <c r="G6" s="55"/>
      <c r="H6" s="55"/>
    </row>
    <row r="7" spans="1:8" ht="17.25" customHeight="1" x14ac:dyDescent="0.25">
      <c r="A7" s="54"/>
      <c r="B7" s="59"/>
      <c r="C7" s="56"/>
      <c r="D7" s="56"/>
      <c r="E7" s="56"/>
      <c r="F7" s="56"/>
      <c r="G7" s="56"/>
      <c r="H7" s="56"/>
    </row>
    <row r="8" spans="1:8" x14ac:dyDescent="0.25">
      <c r="A8" s="10"/>
      <c r="B8" s="21"/>
      <c r="C8" s="10"/>
      <c r="D8" s="10"/>
      <c r="E8" s="10"/>
      <c r="F8" s="10"/>
      <c r="G8" s="10"/>
      <c r="H8" s="10"/>
    </row>
  </sheetData>
  <pageMargins left="0.68" right="0.37" top="0.75" bottom="0.24" header="0.16" footer="0.21"/>
  <pageSetup paperSize="9" scale="90" orientation="portrait" horizontalDpi="0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3:H200"/>
  <sheetViews>
    <sheetView workbookViewId="0">
      <pane ySplit="3" topLeftCell="A4" activePane="bottomLeft" state="frozen"/>
      <selection pane="bottomLeft" activeCell="K6" sqref="K6"/>
    </sheetView>
  </sheetViews>
  <sheetFormatPr defaultRowHeight="15" x14ac:dyDescent="0.25"/>
  <cols>
    <col min="1" max="1" width="6.140625" style="1" customWidth="1"/>
    <col min="2" max="2" width="25.5703125" customWidth="1"/>
    <col min="3" max="3" width="32.85546875" customWidth="1"/>
    <col min="4" max="4" width="12.85546875" style="1" customWidth="1"/>
    <col min="6" max="6" width="6.140625" style="1" customWidth="1"/>
    <col min="7" max="7" width="20.7109375" customWidth="1"/>
    <col min="8" max="8" width="24" customWidth="1"/>
  </cols>
  <sheetData>
    <row r="3" spans="1:8" ht="15.75" x14ac:dyDescent="0.25">
      <c r="A3" s="77" t="s">
        <v>7</v>
      </c>
      <c r="B3" s="77" t="s">
        <v>0</v>
      </c>
      <c r="C3" s="77" t="s">
        <v>1</v>
      </c>
      <c r="D3" s="78" t="s">
        <v>25</v>
      </c>
      <c r="F3" s="87" t="s">
        <v>7</v>
      </c>
      <c r="G3" s="87" t="s">
        <v>28</v>
      </c>
      <c r="H3" s="87" t="s">
        <v>29</v>
      </c>
    </row>
    <row r="4" spans="1:8" ht="19.5" customHeight="1" x14ac:dyDescent="0.25">
      <c r="A4" s="1">
        <v>1</v>
      </c>
      <c r="B4" t="s">
        <v>41</v>
      </c>
      <c r="C4" t="s">
        <v>89</v>
      </c>
      <c r="D4" s="1" t="s">
        <v>137</v>
      </c>
      <c r="F4" s="1">
        <v>1</v>
      </c>
      <c r="G4" t="s">
        <v>31</v>
      </c>
      <c r="H4" t="s">
        <v>32</v>
      </c>
    </row>
    <row r="5" spans="1:8" ht="19.5" customHeight="1" x14ac:dyDescent="0.25">
      <c r="A5" s="1">
        <v>2</v>
      </c>
      <c r="B5" t="s">
        <v>42</v>
      </c>
      <c r="C5" t="s">
        <v>90</v>
      </c>
      <c r="D5" s="1" t="s">
        <v>137</v>
      </c>
      <c r="F5" s="1">
        <v>2</v>
      </c>
      <c r="G5" t="s">
        <v>35</v>
      </c>
      <c r="H5" t="s">
        <v>37</v>
      </c>
    </row>
    <row r="6" spans="1:8" ht="19.5" customHeight="1" x14ac:dyDescent="0.25">
      <c r="A6" s="1">
        <v>3</v>
      </c>
      <c r="B6" t="s">
        <v>43</v>
      </c>
      <c r="C6" t="s">
        <v>91</v>
      </c>
      <c r="D6" s="1" t="s">
        <v>137</v>
      </c>
      <c r="F6" s="1">
        <v>3</v>
      </c>
      <c r="G6" t="s">
        <v>36</v>
      </c>
      <c r="H6" t="s">
        <v>38</v>
      </c>
    </row>
    <row r="7" spans="1:8" ht="19.5" customHeight="1" x14ac:dyDescent="0.25">
      <c r="A7" s="1">
        <v>4</v>
      </c>
      <c r="B7" t="s">
        <v>44</v>
      </c>
      <c r="C7" t="s">
        <v>92</v>
      </c>
      <c r="D7" s="1" t="s">
        <v>137</v>
      </c>
      <c r="F7" s="1">
        <v>4</v>
      </c>
      <c r="G7" t="s">
        <v>39</v>
      </c>
      <c r="H7" t="s">
        <v>40</v>
      </c>
    </row>
    <row r="8" spans="1:8" ht="19.5" customHeight="1" x14ac:dyDescent="0.25">
      <c r="A8" s="1">
        <v>5</v>
      </c>
      <c r="B8" t="s">
        <v>45</v>
      </c>
      <c r="C8" t="s">
        <v>93</v>
      </c>
      <c r="D8" s="1" t="s">
        <v>137</v>
      </c>
      <c r="F8" s="1">
        <v>5</v>
      </c>
    </row>
    <row r="9" spans="1:8" ht="19.5" customHeight="1" x14ac:dyDescent="0.25">
      <c r="A9" s="1">
        <v>6</v>
      </c>
      <c r="B9" t="s">
        <v>8</v>
      </c>
      <c r="C9" t="s">
        <v>9</v>
      </c>
      <c r="D9" s="1" t="s">
        <v>26</v>
      </c>
      <c r="F9" s="1">
        <v>6</v>
      </c>
    </row>
    <row r="10" spans="1:8" ht="19.5" customHeight="1" x14ac:dyDescent="0.25">
      <c r="A10" s="1">
        <v>7</v>
      </c>
      <c r="B10" t="s">
        <v>46</v>
      </c>
      <c r="C10" t="s">
        <v>94</v>
      </c>
      <c r="D10" s="1" t="s">
        <v>138</v>
      </c>
      <c r="F10" s="1">
        <v>7</v>
      </c>
    </row>
    <row r="11" spans="1:8" ht="19.5" customHeight="1" x14ac:dyDescent="0.25">
      <c r="A11" s="1">
        <v>8</v>
      </c>
      <c r="B11" t="s">
        <v>47</v>
      </c>
      <c r="C11" t="s">
        <v>95</v>
      </c>
      <c r="D11" s="1" t="s">
        <v>138</v>
      </c>
      <c r="F11" s="1">
        <v>8</v>
      </c>
    </row>
    <row r="12" spans="1:8" ht="19.5" customHeight="1" x14ac:dyDescent="0.25">
      <c r="A12" s="1">
        <v>9</v>
      </c>
      <c r="B12" t="s">
        <v>48</v>
      </c>
      <c r="C12" t="s">
        <v>96</v>
      </c>
      <c r="D12" s="1" t="s">
        <v>139</v>
      </c>
      <c r="F12" s="1">
        <v>9</v>
      </c>
    </row>
    <row r="13" spans="1:8" ht="19.5" customHeight="1" x14ac:dyDescent="0.25">
      <c r="A13" s="1">
        <v>10</v>
      </c>
      <c r="B13" t="s">
        <v>49</v>
      </c>
      <c r="C13" t="s">
        <v>97</v>
      </c>
      <c r="D13" s="1" t="s">
        <v>137</v>
      </c>
      <c r="F13" s="1">
        <v>10</v>
      </c>
    </row>
    <row r="14" spans="1:8" ht="19.5" customHeight="1" x14ac:dyDescent="0.25">
      <c r="A14" s="1">
        <v>11</v>
      </c>
      <c r="B14" t="s">
        <v>50</v>
      </c>
      <c r="C14" t="s">
        <v>98</v>
      </c>
      <c r="D14" s="1" t="s">
        <v>137</v>
      </c>
    </row>
    <row r="15" spans="1:8" ht="19.5" customHeight="1" x14ac:dyDescent="0.25">
      <c r="A15" s="1">
        <v>12</v>
      </c>
      <c r="B15" t="s">
        <v>51</v>
      </c>
      <c r="C15" t="s">
        <v>99</v>
      </c>
      <c r="D15" s="1" t="s">
        <v>140</v>
      </c>
    </row>
    <row r="16" spans="1:8" ht="19.5" customHeight="1" x14ac:dyDescent="0.25">
      <c r="A16" s="1">
        <v>13</v>
      </c>
      <c r="B16" t="s">
        <v>52</v>
      </c>
      <c r="C16" t="s">
        <v>100</v>
      </c>
      <c r="D16" s="1" t="s">
        <v>26</v>
      </c>
    </row>
    <row r="17" spans="1:4" ht="19.5" customHeight="1" x14ac:dyDescent="0.25">
      <c r="A17" s="1">
        <v>14</v>
      </c>
      <c r="B17" t="s">
        <v>53</v>
      </c>
      <c r="C17" t="s">
        <v>101</v>
      </c>
      <c r="D17" s="1" t="s">
        <v>141</v>
      </c>
    </row>
    <row r="18" spans="1:4" ht="19.5" customHeight="1" x14ac:dyDescent="0.25">
      <c r="A18" s="1">
        <v>15</v>
      </c>
      <c r="B18" t="s">
        <v>54</v>
      </c>
      <c r="C18" t="s">
        <v>102</v>
      </c>
      <c r="D18" s="1" t="s">
        <v>141</v>
      </c>
    </row>
    <row r="19" spans="1:4" ht="19.5" customHeight="1" x14ac:dyDescent="0.25">
      <c r="A19" s="1">
        <v>16</v>
      </c>
      <c r="B19" t="s">
        <v>55</v>
      </c>
      <c r="C19" t="s">
        <v>103</v>
      </c>
      <c r="D19" s="1" t="s">
        <v>141</v>
      </c>
    </row>
    <row r="20" spans="1:4" ht="19.5" customHeight="1" x14ac:dyDescent="0.25">
      <c r="A20" s="1">
        <v>17</v>
      </c>
      <c r="B20" t="s">
        <v>56</v>
      </c>
      <c r="C20" t="s">
        <v>104</v>
      </c>
      <c r="D20" s="1" t="s">
        <v>141</v>
      </c>
    </row>
    <row r="21" spans="1:4" ht="19.5" customHeight="1" x14ac:dyDescent="0.25">
      <c r="A21" s="1">
        <v>18</v>
      </c>
      <c r="B21" t="s">
        <v>57</v>
      </c>
      <c r="C21" t="s">
        <v>105</v>
      </c>
      <c r="D21" s="1" t="s">
        <v>141</v>
      </c>
    </row>
    <row r="22" spans="1:4" ht="19.5" customHeight="1" x14ac:dyDescent="0.25">
      <c r="A22" s="1">
        <v>19</v>
      </c>
      <c r="B22" t="s">
        <v>58</v>
      </c>
      <c r="C22" t="s">
        <v>106</v>
      </c>
      <c r="D22" s="1" t="s">
        <v>141</v>
      </c>
    </row>
    <row r="23" spans="1:4" ht="19.5" customHeight="1" x14ac:dyDescent="0.25">
      <c r="A23" s="1">
        <v>20</v>
      </c>
      <c r="B23" t="s">
        <v>59</v>
      </c>
      <c r="C23" t="s">
        <v>107</v>
      </c>
      <c r="D23" s="1" t="s">
        <v>141</v>
      </c>
    </row>
    <row r="24" spans="1:4" ht="19.5" customHeight="1" x14ac:dyDescent="0.25">
      <c r="A24" s="1">
        <v>21</v>
      </c>
      <c r="B24" t="s">
        <v>60</v>
      </c>
      <c r="C24" t="s">
        <v>108</v>
      </c>
      <c r="D24" s="1" t="s">
        <v>141</v>
      </c>
    </row>
    <row r="25" spans="1:4" ht="19.5" customHeight="1" x14ac:dyDescent="0.25">
      <c r="A25" s="1">
        <v>22</v>
      </c>
      <c r="B25" t="s">
        <v>61</v>
      </c>
      <c r="C25" t="s">
        <v>109</v>
      </c>
      <c r="D25" s="1" t="s">
        <v>141</v>
      </c>
    </row>
    <row r="26" spans="1:4" ht="19.5" customHeight="1" x14ac:dyDescent="0.25">
      <c r="A26" s="1">
        <v>23</v>
      </c>
      <c r="B26" t="s">
        <v>62</v>
      </c>
      <c r="C26" t="s">
        <v>110</v>
      </c>
      <c r="D26" s="1" t="s">
        <v>141</v>
      </c>
    </row>
    <row r="27" spans="1:4" ht="19.5" customHeight="1" x14ac:dyDescent="0.25">
      <c r="A27" s="1">
        <v>24</v>
      </c>
      <c r="B27" t="s">
        <v>63</v>
      </c>
      <c r="C27" t="s">
        <v>111</v>
      </c>
      <c r="D27" s="1" t="s">
        <v>141</v>
      </c>
    </row>
    <row r="28" spans="1:4" ht="19.5" customHeight="1" x14ac:dyDescent="0.25">
      <c r="A28" s="1">
        <v>25</v>
      </c>
      <c r="B28" t="s">
        <v>64</v>
      </c>
      <c r="C28" t="s">
        <v>112</v>
      </c>
      <c r="D28" s="1" t="s">
        <v>141</v>
      </c>
    </row>
    <row r="29" spans="1:4" ht="19.5" customHeight="1" x14ac:dyDescent="0.25">
      <c r="A29" s="1">
        <v>26</v>
      </c>
      <c r="B29" t="s">
        <v>65</v>
      </c>
      <c r="C29" t="s">
        <v>113</v>
      </c>
      <c r="D29" s="1" t="s">
        <v>141</v>
      </c>
    </row>
    <row r="30" spans="1:4" ht="19.5" customHeight="1" x14ac:dyDescent="0.25">
      <c r="A30" s="1">
        <v>27</v>
      </c>
      <c r="B30" t="s">
        <v>66</v>
      </c>
      <c r="C30" t="s">
        <v>114</v>
      </c>
      <c r="D30" s="1" t="s">
        <v>141</v>
      </c>
    </row>
    <row r="31" spans="1:4" ht="19.5" customHeight="1" x14ac:dyDescent="0.25">
      <c r="A31" s="1">
        <v>28</v>
      </c>
      <c r="B31" t="s">
        <v>67</v>
      </c>
      <c r="C31" t="s">
        <v>115</v>
      </c>
      <c r="D31" s="1" t="s">
        <v>141</v>
      </c>
    </row>
    <row r="32" spans="1:4" ht="19.5" customHeight="1" x14ac:dyDescent="0.25">
      <c r="A32" s="1">
        <v>29</v>
      </c>
      <c r="B32" t="s">
        <v>68</v>
      </c>
      <c r="C32" t="s">
        <v>116</v>
      </c>
      <c r="D32" s="1" t="s">
        <v>141</v>
      </c>
    </row>
    <row r="33" spans="1:4" ht="19.5" customHeight="1" x14ac:dyDescent="0.25">
      <c r="A33" s="1">
        <v>30</v>
      </c>
      <c r="B33" t="s">
        <v>69</v>
      </c>
      <c r="C33" t="s">
        <v>117</v>
      </c>
      <c r="D33" s="1" t="s">
        <v>141</v>
      </c>
    </row>
    <row r="34" spans="1:4" ht="19.5" customHeight="1" x14ac:dyDescent="0.25">
      <c r="A34" s="1">
        <v>31</v>
      </c>
      <c r="B34" t="s">
        <v>70</v>
      </c>
      <c r="C34" t="s">
        <v>118</v>
      </c>
      <c r="D34" s="1" t="s">
        <v>142</v>
      </c>
    </row>
    <row r="35" spans="1:4" ht="19.5" customHeight="1" x14ac:dyDescent="0.25">
      <c r="A35" s="1">
        <v>32</v>
      </c>
      <c r="B35" t="s">
        <v>71</v>
      </c>
      <c r="C35" t="s">
        <v>119</v>
      </c>
      <c r="D35" s="1" t="s">
        <v>139</v>
      </c>
    </row>
    <row r="36" spans="1:4" ht="19.5" customHeight="1" x14ac:dyDescent="0.25">
      <c r="A36" s="1">
        <v>33</v>
      </c>
      <c r="B36" t="s">
        <v>72</v>
      </c>
      <c r="C36" t="s">
        <v>120</v>
      </c>
      <c r="D36" s="1" t="s">
        <v>140</v>
      </c>
    </row>
    <row r="37" spans="1:4" ht="19.5" customHeight="1" x14ac:dyDescent="0.25">
      <c r="A37" s="1">
        <v>34</v>
      </c>
      <c r="B37" t="s">
        <v>73</v>
      </c>
      <c r="C37" t="s">
        <v>121</v>
      </c>
      <c r="D37" s="1" t="s">
        <v>141</v>
      </c>
    </row>
    <row r="38" spans="1:4" ht="19.5" customHeight="1" x14ac:dyDescent="0.25">
      <c r="A38" s="1">
        <v>35</v>
      </c>
      <c r="B38" t="s">
        <v>74</v>
      </c>
      <c r="C38" t="s">
        <v>122</v>
      </c>
      <c r="D38" s="1" t="s">
        <v>140</v>
      </c>
    </row>
    <row r="39" spans="1:4" ht="19.5" customHeight="1" x14ac:dyDescent="0.25">
      <c r="A39" s="1">
        <v>36</v>
      </c>
      <c r="B39" t="s">
        <v>75</v>
      </c>
      <c r="C39" t="s">
        <v>123</v>
      </c>
      <c r="D39" s="1" t="s">
        <v>143</v>
      </c>
    </row>
    <row r="40" spans="1:4" ht="19.5" customHeight="1" x14ac:dyDescent="0.25">
      <c r="A40" s="1">
        <v>37</v>
      </c>
      <c r="B40" t="s">
        <v>76</v>
      </c>
      <c r="C40" t="s">
        <v>124</v>
      </c>
      <c r="D40" s="1" t="s">
        <v>26</v>
      </c>
    </row>
    <row r="41" spans="1:4" ht="19.5" customHeight="1" x14ac:dyDescent="0.25">
      <c r="A41" s="1">
        <v>38</v>
      </c>
      <c r="B41" t="s">
        <v>77</v>
      </c>
      <c r="C41" t="s">
        <v>125</v>
      </c>
      <c r="D41" s="1" t="s">
        <v>141</v>
      </c>
    </row>
    <row r="42" spans="1:4" ht="19.5" customHeight="1" x14ac:dyDescent="0.25">
      <c r="A42" s="1">
        <v>39</v>
      </c>
      <c r="B42" t="s">
        <v>78</v>
      </c>
      <c r="C42" t="s">
        <v>126</v>
      </c>
      <c r="D42" s="1" t="s">
        <v>141</v>
      </c>
    </row>
    <row r="43" spans="1:4" ht="19.5" customHeight="1" x14ac:dyDescent="0.25">
      <c r="A43" s="1">
        <v>40</v>
      </c>
      <c r="B43" t="s">
        <v>79</v>
      </c>
      <c r="C43" t="s">
        <v>127</v>
      </c>
      <c r="D43" s="1" t="s">
        <v>141</v>
      </c>
    </row>
    <row r="44" spans="1:4" ht="19.5" customHeight="1" x14ac:dyDescent="0.25">
      <c r="A44" s="1">
        <v>41</v>
      </c>
      <c r="B44" t="s">
        <v>80</v>
      </c>
      <c r="C44" t="s">
        <v>128</v>
      </c>
      <c r="D44" s="1" t="s">
        <v>141</v>
      </c>
    </row>
    <row r="45" spans="1:4" ht="19.5" customHeight="1" x14ac:dyDescent="0.25">
      <c r="A45" s="1">
        <v>42</v>
      </c>
      <c r="B45" t="s">
        <v>81</v>
      </c>
      <c r="C45" t="s">
        <v>129</v>
      </c>
      <c r="D45" s="1" t="s">
        <v>141</v>
      </c>
    </row>
    <row r="46" spans="1:4" ht="19.5" customHeight="1" x14ac:dyDescent="0.25">
      <c r="A46" s="1">
        <v>43</v>
      </c>
      <c r="B46" t="s">
        <v>82</v>
      </c>
      <c r="C46" t="s">
        <v>130</v>
      </c>
      <c r="D46" s="1" t="s">
        <v>26</v>
      </c>
    </row>
    <row r="47" spans="1:4" ht="19.5" customHeight="1" x14ac:dyDescent="0.25">
      <c r="A47" s="1">
        <v>44</v>
      </c>
      <c r="B47" t="s">
        <v>83</v>
      </c>
      <c r="C47" t="s">
        <v>131</v>
      </c>
      <c r="D47" s="1" t="s">
        <v>26</v>
      </c>
    </row>
    <row r="48" spans="1:4" ht="19.5" customHeight="1" x14ac:dyDescent="0.25">
      <c r="A48" s="1">
        <v>45</v>
      </c>
      <c r="B48" t="s">
        <v>84</v>
      </c>
      <c r="C48" t="s">
        <v>132</v>
      </c>
      <c r="D48" s="1" t="s">
        <v>138</v>
      </c>
    </row>
    <row r="49" spans="1:4" ht="19.5" customHeight="1" x14ac:dyDescent="0.25">
      <c r="A49" s="1">
        <v>46</v>
      </c>
      <c r="B49" t="s">
        <v>85</v>
      </c>
      <c r="C49" t="s">
        <v>133</v>
      </c>
      <c r="D49" s="1" t="s">
        <v>138</v>
      </c>
    </row>
    <row r="50" spans="1:4" ht="19.5" customHeight="1" x14ac:dyDescent="0.25">
      <c r="A50" s="1">
        <v>47</v>
      </c>
      <c r="B50" t="s">
        <v>86</v>
      </c>
      <c r="C50" t="s">
        <v>134</v>
      </c>
      <c r="D50" s="1" t="s">
        <v>138</v>
      </c>
    </row>
    <row r="51" spans="1:4" ht="19.5" customHeight="1" x14ac:dyDescent="0.25">
      <c r="A51" s="1">
        <v>48</v>
      </c>
      <c r="B51" t="s">
        <v>87</v>
      </c>
      <c r="C51" t="s">
        <v>135</v>
      </c>
      <c r="D51" s="1" t="s">
        <v>141</v>
      </c>
    </row>
    <row r="52" spans="1:4" ht="19.5" customHeight="1" x14ac:dyDescent="0.25">
      <c r="A52" s="1">
        <v>49</v>
      </c>
      <c r="B52" t="s">
        <v>88</v>
      </c>
      <c r="C52" t="s">
        <v>136</v>
      </c>
      <c r="D52" s="1" t="s">
        <v>141</v>
      </c>
    </row>
    <row r="53" spans="1:4" ht="19.5" customHeight="1" x14ac:dyDescent="0.25"/>
    <row r="54" spans="1:4" ht="19.5" customHeight="1" x14ac:dyDescent="0.25"/>
    <row r="55" spans="1:4" ht="19.5" customHeight="1" x14ac:dyDescent="0.25"/>
    <row r="56" spans="1:4" ht="19.5" customHeight="1" x14ac:dyDescent="0.25"/>
    <row r="57" spans="1:4" ht="19.5" customHeight="1" x14ac:dyDescent="0.25"/>
    <row r="58" spans="1:4" ht="19.5" customHeight="1" x14ac:dyDescent="0.25"/>
    <row r="59" spans="1:4" ht="19.5" customHeight="1" x14ac:dyDescent="0.25"/>
    <row r="60" spans="1:4" ht="19.5" customHeight="1" x14ac:dyDescent="0.25"/>
    <row r="61" spans="1:4" ht="19.5" customHeight="1" x14ac:dyDescent="0.25"/>
    <row r="62" spans="1:4" ht="19.5" customHeight="1" x14ac:dyDescent="0.25"/>
    <row r="63" spans="1:4" ht="19.5" customHeight="1" x14ac:dyDescent="0.25"/>
    <row r="64" spans="1:4" ht="19.5" customHeight="1" x14ac:dyDescent="0.25"/>
    <row r="65" ht="19.5" customHeight="1" x14ac:dyDescent="0.25"/>
    <row r="66" ht="19.5" customHeight="1" x14ac:dyDescent="0.25"/>
    <row r="67" ht="19.5" customHeight="1" x14ac:dyDescent="0.25"/>
    <row r="68" ht="19.5" customHeight="1" x14ac:dyDescent="0.25"/>
    <row r="69" ht="19.5" customHeight="1" x14ac:dyDescent="0.25"/>
    <row r="70" ht="19.5" customHeight="1" x14ac:dyDescent="0.25"/>
    <row r="71" ht="19.5" customHeight="1" x14ac:dyDescent="0.25"/>
    <row r="72" ht="19.5" customHeight="1" x14ac:dyDescent="0.25"/>
    <row r="73" ht="19.5" customHeight="1" x14ac:dyDescent="0.25"/>
    <row r="74" ht="19.5" customHeight="1" x14ac:dyDescent="0.25"/>
    <row r="75" ht="19.5" customHeight="1" x14ac:dyDescent="0.25"/>
    <row r="76" ht="19.5" customHeight="1" x14ac:dyDescent="0.25"/>
    <row r="77" ht="19.5" customHeight="1" x14ac:dyDescent="0.25"/>
    <row r="78" ht="19.5" customHeight="1" x14ac:dyDescent="0.25"/>
    <row r="79" ht="19.5" customHeight="1" x14ac:dyDescent="0.25"/>
    <row r="80" ht="19.5" customHeight="1" x14ac:dyDescent="0.25"/>
    <row r="81" ht="19.5" customHeight="1" x14ac:dyDescent="0.25"/>
    <row r="82" ht="19.5" customHeight="1" x14ac:dyDescent="0.25"/>
    <row r="83" ht="19.5" customHeight="1" x14ac:dyDescent="0.25"/>
    <row r="84" ht="19.5" customHeight="1" x14ac:dyDescent="0.25"/>
    <row r="85" ht="19.5" customHeight="1" x14ac:dyDescent="0.25"/>
    <row r="86" ht="19.5" customHeight="1" x14ac:dyDescent="0.25"/>
    <row r="87" ht="19.5" customHeight="1" x14ac:dyDescent="0.25"/>
    <row r="88" ht="19.5" customHeight="1" x14ac:dyDescent="0.25"/>
    <row r="89" ht="19.5" customHeight="1" x14ac:dyDescent="0.25"/>
    <row r="90" ht="19.5" customHeight="1" x14ac:dyDescent="0.25"/>
    <row r="91" ht="19.5" customHeight="1" x14ac:dyDescent="0.25"/>
    <row r="92" ht="19.5" customHeight="1" x14ac:dyDescent="0.25"/>
    <row r="93" ht="19.5" customHeight="1" x14ac:dyDescent="0.25"/>
    <row r="94" ht="19.5" customHeight="1" x14ac:dyDescent="0.25"/>
    <row r="95" ht="19.5" customHeight="1" x14ac:dyDescent="0.25"/>
    <row r="96" ht="19.5" customHeight="1" x14ac:dyDescent="0.25"/>
    <row r="97" ht="19.5" customHeight="1" x14ac:dyDescent="0.25"/>
    <row r="98" ht="19.5" customHeight="1" x14ac:dyDescent="0.25"/>
    <row r="99" ht="19.5" customHeight="1" x14ac:dyDescent="0.25"/>
    <row r="100" ht="19.5" customHeight="1" x14ac:dyDescent="0.25"/>
    <row r="101" ht="19.5" customHeight="1" x14ac:dyDescent="0.25"/>
    <row r="102" ht="19.5" customHeight="1" x14ac:dyDescent="0.25"/>
    <row r="103" ht="19.5" customHeight="1" x14ac:dyDescent="0.25"/>
    <row r="104" ht="19.5" customHeight="1" x14ac:dyDescent="0.25"/>
    <row r="105" ht="19.5" customHeight="1" x14ac:dyDescent="0.25"/>
    <row r="106" ht="19.5" customHeight="1" x14ac:dyDescent="0.25"/>
    <row r="107" ht="19.5" customHeight="1" x14ac:dyDescent="0.25"/>
    <row r="108" ht="19.5" customHeight="1" x14ac:dyDescent="0.25"/>
    <row r="109" ht="19.5" customHeight="1" x14ac:dyDescent="0.25"/>
    <row r="110" ht="19.5" customHeight="1" x14ac:dyDescent="0.25"/>
    <row r="111" ht="19.5" customHeight="1" x14ac:dyDescent="0.25"/>
    <row r="112" ht="19.5" customHeight="1" x14ac:dyDescent="0.25"/>
    <row r="113" ht="19.5" customHeight="1" x14ac:dyDescent="0.25"/>
    <row r="114" ht="19.5" customHeight="1" x14ac:dyDescent="0.25"/>
    <row r="115" ht="19.5" customHeight="1" x14ac:dyDescent="0.25"/>
    <row r="116" ht="19.5" customHeight="1" x14ac:dyDescent="0.25"/>
    <row r="117" ht="19.5" customHeight="1" x14ac:dyDescent="0.25"/>
    <row r="118" ht="19.5" customHeight="1" x14ac:dyDescent="0.25"/>
    <row r="119" ht="19.5" customHeight="1" x14ac:dyDescent="0.25"/>
    <row r="120" ht="19.5" customHeight="1" x14ac:dyDescent="0.25"/>
    <row r="121" ht="19.5" customHeight="1" x14ac:dyDescent="0.25"/>
    <row r="122" ht="19.5" customHeight="1" x14ac:dyDescent="0.25"/>
    <row r="123" ht="19.5" customHeight="1" x14ac:dyDescent="0.25"/>
    <row r="124" ht="19.5" customHeight="1" x14ac:dyDescent="0.25"/>
    <row r="125" ht="19.5" customHeight="1" x14ac:dyDescent="0.25"/>
    <row r="126" ht="19.5" customHeight="1" x14ac:dyDescent="0.25"/>
    <row r="127" ht="19.5" customHeight="1" x14ac:dyDescent="0.25"/>
    <row r="128" ht="19.5" customHeight="1" x14ac:dyDescent="0.25"/>
    <row r="129" ht="19.5" customHeight="1" x14ac:dyDescent="0.25"/>
    <row r="130" ht="19.5" customHeight="1" x14ac:dyDescent="0.25"/>
    <row r="131" ht="19.5" customHeight="1" x14ac:dyDescent="0.25"/>
    <row r="132" ht="19.5" customHeight="1" x14ac:dyDescent="0.25"/>
    <row r="133" ht="19.5" customHeight="1" x14ac:dyDescent="0.25"/>
    <row r="134" ht="19.5" customHeight="1" x14ac:dyDescent="0.25"/>
    <row r="135" ht="19.5" customHeight="1" x14ac:dyDescent="0.25"/>
    <row r="136" ht="19.5" customHeight="1" x14ac:dyDescent="0.25"/>
    <row r="137" ht="19.5" customHeight="1" x14ac:dyDescent="0.25"/>
    <row r="138" ht="19.5" customHeight="1" x14ac:dyDescent="0.25"/>
    <row r="139" ht="19.5" customHeight="1" x14ac:dyDescent="0.25"/>
    <row r="140" ht="19.5" customHeight="1" x14ac:dyDescent="0.25"/>
    <row r="141" ht="19.5" customHeight="1" x14ac:dyDescent="0.25"/>
    <row r="142" ht="19.5" customHeight="1" x14ac:dyDescent="0.25"/>
    <row r="143" ht="19.5" customHeight="1" x14ac:dyDescent="0.25"/>
    <row r="144" ht="19.5" customHeight="1" x14ac:dyDescent="0.25"/>
    <row r="145" ht="19.5" customHeight="1" x14ac:dyDescent="0.25"/>
    <row r="146" ht="19.5" customHeight="1" x14ac:dyDescent="0.25"/>
    <row r="147" ht="19.5" customHeight="1" x14ac:dyDescent="0.25"/>
    <row r="148" ht="19.5" customHeight="1" x14ac:dyDescent="0.25"/>
    <row r="149" ht="19.5" customHeight="1" x14ac:dyDescent="0.25"/>
    <row r="150" ht="19.5" customHeight="1" x14ac:dyDescent="0.25"/>
    <row r="151" ht="19.5" customHeight="1" x14ac:dyDescent="0.25"/>
    <row r="152" ht="19.5" customHeight="1" x14ac:dyDescent="0.25"/>
    <row r="153" ht="19.5" customHeight="1" x14ac:dyDescent="0.25"/>
    <row r="154" ht="19.5" customHeight="1" x14ac:dyDescent="0.25"/>
    <row r="155" ht="19.5" customHeight="1" x14ac:dyDescent="0.25"/>
    <row r="156" ht="19.5" customHeight="1" x14ac:dyDescent="0.25"/>
    <row r="157" ht="19.5" customHeight="1" x14ac:dyDescent="0.25"/>
    <row r="158" ht="19.5" customHeight="1" x14ac:dyDescent="0.25"/>
    <row r="159" ht="19.5" customHeight="1" x14ac:dyDescent="0.25"/>
    <row r="160" ht="19.5" customHeight="1" x14ac:dyDescent="0.25"/>
    <row r="161" ht="19.5" customHeight="1" x14ac:dyDescent="0.25"/>
    <row r="162" ht="19.5" customHeight="1" x14ac:dyDescent="0.25"/>
    <row r="163" ht="19.5" customHeight="1" x14ac:dyDescent="0.25"/>
    <row r="164" ht="19.5" customHeight="1" x14ac:dyDescent="0.25"/>
    <row r="165" ht="19.5" customHeight="1" x14ac:dyDescent="0.25"/>
    <row r="166" ht="19.5" customHeight="1" x14ac:dyDescent="0.25"/>
    <row r="167" ht="19.5" customHeight="1" x14ac:dyDescent="0.25"/>
    <row r="168" ht="19.5" customHeight="1" x14ac:dyDescent="0.25"/>
    <row r="169" ht="19.5" customHeight="1" x14ac:dyDescent="0.25"/>
    <row r="170" ht="19.5" customHeight="1" x14ac:dyDescent="0.25"/>
    <row r="171" ht="19.5" customHeight="1" x14ac:dyDescent="0.25"/>
    <row r="172" ht="19.5" customHeight="1" x14ac:dyDescent="0.25"/>
    <row r="173" ht="19.5" customHeight="1" x14ac:dyDescent="0.25"/>
    <row r="174" ht="19.5" customHeight="1" x14ac:dyDescent="0.25"/>
    <row r="175" ht="19.5" customHeight="1" x14ac:dyDescent="0.25"/>
    <row r="176" ht="19.5" customHeight="1" x14ac:dyDescent="0.25"/>
    <row r="177" ht="19.5" customHeight="1" x14ac:dyDescent="0.25"/>
    <row r="178" ht="19.5" customHeight="1" x14ac:dyDescent="0.25"/>
    <row r="179" ht="19.5" customHeight="1" x14ac:dyDescent="0.25"/>
    <row r="180" ht="19.5" customHeight="1" x14ac:dyDescent="0.25"/>
    <row r="181" ht="19.5" customHeight="1" x14ac:dyDescent="0.25"/>
    <row r="182" ht="19.5" customHeight="1" x14ac:dyDescent="0.25"/>
    <row r="183" ht="19.5" customHeight="1" x14ac:dyDescent="0.25"/>
    <row r="184" ht="19.5" customHeight="1" x14ac:dyDescent="0.25"/>
    <row r="185" ht="19.5" customHeight="1" x14ac:dyDescent="0.25"/>
    <row r="186" ht="19.5" customHeight="1" x14ac:dyDescent="0.25"/>
    <row r="187" ht="19.5" customHeight="1" x14ac:dyDescent="0.25"/>
    <row r="188" ht="19.5" customHeight="1" x14ac:dyDescent="0.25"/>
    <row r="189" ht="19.5" customHeight="1" x14ac:dyDescent="0.25"/>
    <row r="190" ht="19.5" customHeight="1" x14ac:dyDescent="0.25"/>
    <row r="191" ht="19.5" customHeight="1" x14ac:dyDescent="0.25"/>
    <row r="192" ht="19.5" customHeight="1" x14ac:dyDescent="0.25"/>
    <row r="193" ht="19.5" customHeight="1" x14ac:dyDescent="0.25"/>
    <row r="194" ht="19.5" customHeight="1" x14ac:dyDescent="0.25"/>
    <row r="195" ht="19.5" customHeight="1" x14ac:dyDescent="0.25"/>
    <row r="196" ht="19.5" customHeight="1" x14ac:dyDescent="0.25"/>
    <row r="197" ht="19.5" customHeight="1" x14ac:dyDescent="0.25"/>
    <row r="198" ht="19.5" customHeight="1" x14ac:dyDescent="0.25"/>
    <row r="199" ht="19.5" customHeight="1" x14ac:dyDescent="0.25"/>
    <row r="200" ht="19.5" customHeight="1" x14ac:dyDescent="0.25"/>
  </sheetData>
  <pageMargins left="0.7" right="0.7" top="0.75" bottom="0.75" header="0.3" footer="0.3"/>
  <drawing r:id="rId1"/>
  <tableParts count="2">
    <tablePart r:id="rId2"/>
    <tablePart r:id="rId3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2:Q79"/>
  <sheetViews>
    <sheetView tabSelected="1" workbookViewId="0">
      <pane xSplit="1" ySplit="9" topLeftCell="B22" activePane="bottomRight" state="frozen"/>
      <selection pane="topRight" activeCell="B1" sqref="B1"/>
      <selection pane="bottomLeft" activeCell="A10" sqref="A10"/>
      <selection pane="bottomRight" activeCell="G32" sqref="G32"/>
    </sheetView>
  </sheetViews>
  <sheetFormatPr defaultRowHeight="15" x14ac:dyDescent="0.25"/>
  <cols>
    <col min="1" max="1" width="5.42578125" style="1" customWidth="1"/>
    <col min="2" max="2" width="19.140625" style="2" bestFit="1" customWidth="1"/>
    <col min="3" max="3" width="21.85546875" style="2" customWidth="1"/>
    <col min="4" max="4" width="10.5703125" style="1" customWidth="1"/>
    <col min="5" max="5" width="8.85546875" style="1" customWidth="1"/>
    <col min="6" max="6" width="10.28515625" style="62" customWidth="1"/>
    <col min="7" max="7" width="12.85546875" style="65" customWidth="1"/>
    <col min="8" max="8" width="8.85546875" style="1" customWidth="1"/>
    <col min="9" max="9" width="10.140625" style="62" customWidth="1"/>
    <col min="10" max="10" width="12.28515625" style="65" customWidth="1"/>
    <col min="11" max="11" width="10" style="1" customWidth="1"/>
    <col min="12" max="12" width="12" style="62" customWidth="1"/>
    <col min="13" max="13" width="11.42578125" customWidth="1"/>
    <col min="16" max="16" width="17.7109375" customWidth="1"/>
    <col min="17" max="17" width="13.85546875" customWidth="1"/>
  </cols>
  <sheetData>
    <row r="2" spans="1:17" ht="21.75" customHeight="1" x14ac:dyDescent="0.25">
      <c r="B2" s="76" t="s">
        <v>0</v>
      </c>
      <c r="C2" s="76" t="s">
        <v>1</v>
      </c>
      <c r="D2" s="76" t="s">
        <v>25</v>
      </c>
      <c r="E2" s="76" t="s">
        <v>15</v>
      </c>
      <c r="F2" s="76" t="s">
        <v>16</v>
      </c>
      <c r="G2" s="76" t="s">
        <v>17</v>
      </c>
      <c r="H2" s="74"/>
    </row>
    <row r="3" spans="1:17" ht="23.25" customHeight="1" x14ac:dyDescent="0.25">
      <c r="B3" s="41" t="s">
        <v>82</v>
      </c>
      <c r="C3" s="41" t="str">
        <f>INDEX(tbl_Danhmucsp[],MATCH($B3,DanhMucSP!$B$4:$B200,0),3)</f>
        <v>Bột trét</v>
      </c>
      <c r="D3" s="11" t="str">
        <f>VLOOKUP(B3,DanhMucSP!$B$4:$D$500,3,FALSE)</f>
        <v>Kg</v>
      </c>
      <c r="E3" s="11">
        <f>SUMIFS(Nhap!G:G,Nhap!E:E,Kho!C3)</f>
        <v>0</v>
      </c>
      <c r="F3" s="11">
        <f>SUMIFS(Xuat!D:D,Xuat!C:C,Kho!B3)</f>
        <v>0</v>
      </c>
      <c r="G3" s="11">
        <f>$E3-$F3</f>
        <v>0</v>
      </c>
    </row>
    <row r="8" spans="1:17" ht="24" customHeight="1" x14ac:dyDescent="0.25">
      <c r="F8" s="75"/>
      <c r="G8" s="75">
        <f>SUM(G10:G84)</f>
        <v>0</v>
      </c>
      <c r="I8" s="75"/>
      <c r="J8" s="75">
        <f>SUM(J10:J84)</f>
        <v>0</v>
      </c>
      <c r="L8" s="75">
        <f>SUM(L10:L84)</f>
        <v>0</v>
      </c>
    </row>
    <row r="9" spans="1:17" ht="33.75" customHeight="1" x14ac:dyDescent="0.25">
      <c r="A9" s="12" t="s">
        <v>7</v>
      </c>
      <c r="B9" s="12" t="s">
        <v>0</v>
      </c>
      <c r="C9" s="12" t="s">
        <v>1</v>
      </c>
      <c r="D9" s="12" t="s">
        <v>25</v>
      </c>
      <c r="E9" s="12" t="s">
        <v>15</v>
      </c>
      <c r="F9" s="40" t="s">
        <v>18</v>
      </c>
      <c r="G9" s="64" t="s">
        <v>20</v>
      </c>
      <c r="H9" s="12" t="s">
        <v>16</v>
      </c>
      <c r="I9" s="40" t="s">
        <v>19</v>
      </c>
      <c r="J9" s="64" t="s">
        <v>21</v>
      </c>
      <c r="K9" s="12" t="s">
        <v>17</v>
      </c>
      <c r="L9" s="137" t="s">
        <v>144</v>
      </c>
    </row>
    <row r="10" spans="1:17" ht="17.25" customHeight="1" x14ac:dyDescent="0.25">
      <c r="A10" s="37">
        <v>1</v>
      </c>
      <c r="B10" s="38" t="str">
        <f>IF(DanhMucSP!$B4="","",DanhMucSP!$B4)</f>
        <v>DINHF15</v>
      </c>
      <c r="C10" s="38" t="str">
        <f>IF(DanhMucSP!$D4="","",DanhMucSP!$C4)</f>
        <v>Đinh F15</v>
      </c>
      <c r="D10" s="36" t="str">
        <f>IF(DanhMucSP!$D4="","",DanhMucSP!$D4)</f>
        <v>Hộp</v>
      </c>
      <c r="E10" s="36">
        <v>11</v>
      </c>
      <c r="F10" s="61">
        <f>SUMIFS(Nhap!H:H,Nhap!E:E,Kho!C10)</f>
        <v>0</v>
      </c>
      <c r="G10" s="66">
        <f t="shared" ref="G10:G17" si="0">F10*E10</f>
        <v>0</v>
      </c>
      <c r="H10" s="36">
        <v>3</v>
      </c>
      <c r="I10" s="61">
        <f t="shared" ref="I10:I17" si="1">F10</f>
        <v>0</v>
      </c>
      <c r="J10" s="66">
        <f t="shared" ref="J10:J17" si="2">I10*H10</f>
        <v>0</v>
      </c>
      <c r="K10" s="36">
        <f t="shared" ref="K10:K58" si="3">$E10-$H10</f>
        <v>8</v>
      </c>
      <c r="L10" s="63">
        <f t="shared" ref="L10:L17" si="4">K10*F10</f>
        <v>0</v>
      </c>
      <c r="P10" s="34" t="s">
        <v>12</v>
      </c>
      <c r="Q10" s="67">
        <f>SUM($G$10:$G$582)</f>
        <v>0</v>
      </c>
    </row>
    <row r="11" spans="1:17" ht="17.25" customHeight="1" x14ac:dyDescent="0.25">
      <c r="A11" s="13">
        <f t="shared" ref="A11:A17" si="5">IF(B11&lt;&gt;"",A10+1,"")</f>
        <v>2</v>
      </c>
      <c r="B11" s="35" t="str">
        <f>IF(DanhMucSP!$B5="","",DanhMucSP!$B5)</f>
        <v>DINHF20</v>
      </c>
      <c r="C11" s="38" t="str">
        <f>IF(DanhMucSP!$D5="","",DanhMucSP!$C5)</f>
        <v>Đinh F20</v>
      </c>
      <c r="D11" s="36" t="str">
        <f>IF(DanhMucSP!$D5="","",DanhMucSP!$D5)</f>
        <v>Hộp</v>
      </c>
      <c r="E11" s="36">
        <v>8</v>
      </c>
      <c r="F11" s="61">
        <f>SUMIFS(Nhap!H:H,Nhap!E:E,Kho!C11)</f>
        <v>0</v>
      </c>
      <c r="G11" s="66">
        <f t="shared" si="0"/>
        <v>0</v>
      </c>
      <c r="H11" s="14">
        <f>SUMIFS(Xuat!F:F,Xuat!D:D,Kho!C11)</f>
        <v>0</v>
      </c>
      <c r="I11" s="61">
        <f t="shared" si="1"/>
        <v>0</v>
      </c>
      <c r="J11" s="66">
        <f t="shared" si="2"/>
        <v>0</v>
      </c>
      <c r="K11" s="36">
        <f t="shared" si="3"/>
        <v>8</v>
      </c>
      <c r="L11" s="63">
        <f t="shared" si="4"/>
        <v>0</v>
      </c>
      <c r="P11" s="34" t="s">
        <v>13</v>
      </c>
      <c r="Q11" s="67">
        <f>SUM($J$10:$J$582)</f>
        <v>0</v>
      </c>
    </row>
    <row r="12" spans="1:17" ht="17.25" customHeight="1" x14ac:dyDescent="0.25">
      <c r="A12" s="13">
        <f t="shared" si="5"/>
        <v>3</v>
      </c>
      <c r="B12" s="35" t="str">
        <f>IF(DanhMucSP!$B6="","",DanhMucSP!$B6)</f>
        <v>DINHF25</v>
      </c>
      <c r="C12" s="38" t="str">
        <f>IF(DanhMucSP!$D6="","",DanhMucSP!$C6)</f>
        <v>Đinh F25</v>
      </c>
      <c r="D12" s="36" t="str">
        <f>IF(DanhMucSP!$D6="","",DanhMucSP!$D6)</f>
        <v>Hộp</v>
      </c>
      <c r="E12" s="36">
        <v>5</v>
      </c>
      <c r="F12" s="61">
        <f>SUMIFS(Nhap!H:H,Nhap!E:E,Kho!C12)</f>
        <v>0</v>
      </c>
      <c r="G12" s="66">
        <f t="shared" si="0"/>
        <v>0</v>
      </c>
      <c r="H12" s="14">
        <f>SUMIFS(Xuat!F:F,Xuat!D:D,Kho!C12)</f>
        <v>0</v>
      </c>
      <c r="I12" s="61">
        <f t="shared" si="1"/>
        <v>0</v>
      </c>
      <c r="J12" s="66">
        <f t="shared" si="2"/>
        <v>0</v>
      </c>
      <c r="K12" s="36">
        <f t="shared" si="3"/>
        <v>5</v>
      </c>
      <c r="L12" s="63">
        <f t="shared" si="4"/>
        <v>0</v>
      </c>
      <c r="P12" s="34" t="s">
        <v>14</v>
      </c>
      <c r="Q12" s="67">
        <f>Q10-Q11</f>
        <v>0</v>
      </c>
    </row>
    <row r="13" spans="1:17" x14ac:dyDescent="0.25">
      <c r="A13" s="13">
        <f t="shared" si="5"/>
        <v>4</v>
      </c>
      <c r="B13" s="35" t="str">
        <f>IF(DanhMucSP!$B7="","",DanhMucSP!$B7)</f>
        <v>DINHF30</v>
      </c>
      <c r="C13" s="38" t="str">
        <f>IF(DanhMucSP!$D7="","",DanhMucSP!$C7)</f>
        <v>Đinh F30</v>
      </c>
      <c r="D13" s="36" t="str">
        <f>IF(DanhMucSP!$D7="","",DanhMucSP!$D7)</f>
        <v>Hộp</v>
      </c>
      <c r="E13" s="36">
        <v>10</v>
      </c>
      <c r="F13" s="61">
        <f>SUMIFS(Nhap!H:H,Nhap!E:E,Kho!C13)</f>
        <v>0</v>
      </c>
      <c r="G13" s="66">
        <f t="shared" si="0"/>
        <v>0</v>
      </c>
      <c r="H13" s="14">
        <f>SUMIFS(Xuat!F:F,Xuat!D:D,Kho!C13)</f>
        <v>0</v>
      </c>
      <c r="I13" s="61">
        <f t="shared" si="1"/>
        <v>0</v>
      </c>
      <c r="J13" s="66">
        <f t="shared" si="2"/>
        <v>0</v>
      </c>
      <c r="K13" s="36">
        <f t="shared" si="3"/>
        <v>10</v>
      </c>
      <c r="L13" s="63">
        <f t="shared" si="4"/>
        <v>0</v>
      </c>
    </row>
    <row r="14" spans="1:17" x14ac:dyDescent="0.25">
      <c r="A14" s="13">
        <f t="shared" si="5"/>
        <v>5</v>
      </c>
      <c r="B14" s="35" t="str">
        <f>IF(DanhMucSP!$B8="","",DanhMucSP!$B8)</f>
        <v>PHANVIET</v>
      </c>
      <c r="C14" s="38" t="str">
        <f>IF(DanhMucSP!$D8="","",DanhMucSP!$C8)</f>
        <v>Phấn viết</v>
      </c>
      <c r="D14" s="36" t="str">
        <f>IF(DanhMucSP!$D8="","",DanhMucSP!$D8)</f>
        <v>Hộp</v>
      </c>
      <c r="E14" s="36">
        <v>20</v>
      </c>
      <c r="F14" s="61">
        <f>SUMIFS(Nhap!H:H,Nhap!E:E,Kho!C14)</f>
        <v>0</v>
      </c>
      <c r="G14" s="66">
        <f t="shared" si="0"/>
        <v>0</v>
      </c>
      <c r="H14" s="14">
        <f>SUMIFS(Xuat!F:F,Xuat!D:D,Kho!C14)</f>
        <v>0</v>
      </c>
      <c r="I14" s="61">
        <f t="shared" si="1"/>
        <v>0</v>
      </c>
      <c r="J14" s="66">
        <f t="shared" si="2"/>
        <v>0</v>
      </c>
      <c r="K14" s="36">
        <f t="shared" si="3"/>
        <v>20</v>
      </c>
      <c r="L14" s="63">
        <f t="shared" si="4"/>
        <v>0</v>
      </c>
    </row>
    <row r="15" spans="1:17" x14ac:dyDescent="0.25">
      <c r="A15" s="13">
        <f t="shared" si="5"/>
        <v>6</v>
      </c>
      <c r="B15" s="35" t="str">
        <f>IF(DanhMucSP!$B9="","",DanhMucSP!$B9)</f>
        <v>VIT4X25</v>
      </c>
      <c r="C15" s="38" t="str">
        <f>IF(DanhMucSP!$D9="","",DanhMucSP!$C9)</f>
        <v>Vít 4x25</v>
      </c>
      <c r="D15" s="36" t="str">
        <f>IF(DanhMucSP!$D9="","",DanhMucSP!$D9)</f>
        <v>Kg</v>
      </c>
      <c r="E15" s="36">
        <f>SUMIFS(Nhap!G:G,Nhap!D:D,Kho!B15)</f>
        <v>0</v>
      </c>
      <c r="F15" s="61">
        <f>SUMIFS(Nhap!H:H,Nhap!E:E,Kho!C15)</f>
        <v>0</v>
      </c>
      <c r="G15" s="66">
        <f t="shared" si="0"/>
        <v>0</v>
      </c>
      <c r="H15" s="14">
        <f>SUMIFS(Xuat!F:F,Xuat!D:D,Kho!C15)</f>
        <v>0</v>
      </c>
      <c r="I15" s="61">
        <f t="shared" si="1"/>
        <v>0</v>
      </c>
      <c r="J15" s="66">
        <f t="shared" si="2"/>
        <v>0</v>
      </c>
      <c r="K15" s="36">
        <f t="shared" si="3"/>
        <v>0</v>
      </c>
      <c r="L15" s="63">
        <f t="shared" si="4"/>
        <v>0</v>
      </c>
    </row>
    <row r="16" spans="1:17" x14ac:dyDescent="0.25">
      <c r="A16" s="13">
        <f t="shared" si="5"/>
        <v>7</v>
      </c>
      <c r="B16" s="35" t="str">
        <f>IF(DanhMucSP!$B10="","",DanhMucSP!$B10)</f>
        <v>SOCAY6.3X25</v>
      </c>
      <c r="C16" s="38" t="str">
        <f>IF(DanhMucSP!$D10="","",DanhMucSP!$C10)</f>
        <v>Sò 1/4x25 6x25mm</v>
      </c>
      <c r="D16" s="36" t="str">
        <f>IF(DanhMucSP!$D10="","",DanhMucSP!$D10)</f>
        <v>Con</v>
      </c>
      <c r="E16" s="36">
        <f>SUMIFS(Nhap!G:G,Nhap!D:D,Kho!B16)</f>
        <v>0</v>
      </c>
      <c r="F16" s="61">
        <f>SUMIFS(Nhap!H:H,Nhap!E:E,Kho!C16)</f>
        <v>0</v>
      </c>
      <c r="G16" s="66">
        <f t="shared" si="0"/>
        <v>0</v>
      </c>
      <c r="H16" s="14">
        <f>SUMIFS(Xuat!F:F,Xuat!D:D,Kho!C16)</f>
        <v>0</v>
      </c>
      <c r="I16" s="61">
        <f t="shared" si="1"/>
        <v>0</v>
      </c>
      <c r="J16" s="66">
        <f t="shared" si="2"/>
        <v>0</v>
      </c>
      <c r="K16" s="36">
        <f t="shared" si="3"/>
        <v>0</v>
      </c>
      <c r="L16" s="63">
        <f t="shared" si="4"/>
        <v>0</v>
      </c>
    </row>
    <row r="17" spans="1:12" x14ac:dyDescent="0.25">
      <c r="A17" s="13">
        <f t="shared" si="5"/>
        <v>8</v>
      </c>
      <c r="B17" s="35" t="str">
        <f>IF(DanhMucSP!$B11="","",DanhMucSP!$B11)</f>
        <v>SOCAY6.3x20</v>
      </c>
      <c r="C17" s="38" t="str">
        <f>IF(DanhMucSP!$D11="","",DanhMucSP!$C11)</f>
        <v>Sò cấy 6x20mm</v>
      </c>
      <c r="D17" s="36" t="str">
        <f>IF(DanhMucSP!$D11="","",DanhMucSP!$D11)</f>
        <v>Con</v>
      </c>
      <c r="E17" s="36">
        <f>SUMIFS(Nhap!G:G,Nhap!D:D,Kho!B17)</f>
        <v>0</v>
      </c>
      <c r="F17" s="61">
        <f>SUMIFS(Nhap!H:H,Nhap!E:E,Kho!C17)</f>
        <v>0</v>
      </c>
      <c r="G17" s="66">
        <f t="shared" si="0"/>
        <v>0</v>
      </c>
      <c r="H17" s="15">
        <f>SUMIFS(Xuat!F:F,Xuat!D:D,Kho!C17)</f>
        <v>0</v>
      </c>
      <c r="I17" s="61">
        <f t="shared" si="1"/>
        <v>0</v>
      </c>
      <c r="J17" s="66">
        <f t="shared" si="2"/>
        <v>0</v>
      </c>
      <c r="K17" s="36">
        <f t="shared" si="3"/>
        <v>0</v>
      </c>
      <c r="L17" s="63">
        <f t="shared" si="4"/>
        <v>0</v>
      </c>
    </row>
    <row r="18" spans="1:12" x14ac:dyDescent="0.25">
      <c r="A18" s="13">
        <f t="shared" ref="A18:A58" si="6">IF(B18&lt;&gt;"",A17+1,"")</f>
        <v>9</v>
      </c>
      <c r="B18" s="35" t="str">
        <f>IF(DanhMucSP!$B12="","",DanhMucSP!$B12)</f>
        <v>KEOSUANK01</v>
      </c>
      <c r="C18" s="38" t="str">
        <f>IF(DanhMucSP!$D12="","",DanhMucSP!$C12)</f>
        <v>Keo sữa NK01</v>
      </c>
      <c r="D18" s="36" t="str">
        <f>IF(DanhMucSP!$D12="","",DanhMucSP!$D12)</f>
        <v>Thùng</v>
      </c>
      <c r="E18" s="36">
        <f>SUMIFS(Nhap!G:G,Nhap!D:D,Kho!B18)</f>
        <v>0</v>
      </c>
      <c r="F18" s="61">
        <f>SUMIFS(Nhap!H:H,Nhap!E:E,Kho!C18)</f>
        <v>0</v>
      </c>
      <c r="G18" s="66">
        <f t="shared" ref="G18:G58" si="7">F18*E18</f>
        <v>0</v>
      </c>
      <c r="H18" s="15">
        <f>SUMIFS(Xuat!F:F,Xuat!D:D,Kho!C18)</f>
        <v>0</v>
      </c>
      <c r="I18" s="61">
        <f t="shared" ref="I18:I58" si="8">F18</f>
        <v>0</v>
      </c>
      <c r="J18" s="66">
        <f t="shared" ref="J18:J58" si="9">I18*H18</f>
        <v>0</v>
      </c>
      <c r="K18" s="36">
        <f t="shared" si="3"/>
        <v>0</v>
      </c>
      <c r="L18" s="63">
        <f t="shared" ref="L18:L58" si="10">K18*F18</f>
        <v>0</v>
      </c>
    </row>
    <row r="19" spans="1:12" x14ac:dyDescent="0.25">
      <c r="A19" s="13">
        <f t="shared" si="6"/>
        <v>10</v>
      </c>
      <c r="B19" s="35" t="str">
        <f>IF(DanhMucSP!$B13="","",DanhMucSP!$B13)</f>
        <v>NHAMCHOI180</v>
      </c>
      <c r="C19" s="38" t="str">
        <f>IF(DanhMucSP!$D13="","",DanhMucSP!$C13)</f>
        <v>Nhám chổi 180</v>
      </c>
      <c r="D19" s="36" t="str">
        <f>IF(DanhMucSP!$D13="","",DanhMucSP!$D13)</f>
        <v>Hộp</v>
      </c>
      <c r="E19" s="36">
        <f>SUMIFS(Nhap!G:G,Nhap!D:D,Kho!B19)</f>
        <v>0</v>
      </c>
      <c r="F19" s="61">
        <f>SUMIFS(Nhap!H:H,Nhap!E:E,Kho!C19)</f>
        <v>0</v>
      </c>
      <c r="G19" s="66">
        <f t="shared" si="7"/>
        <v>0</v>
      </c>
      <c r="H19" s="15">
        <f>SUMIFS(Xuat!F:F,Xuat!D:D,Kho!C19)</f>
        <v>0</v>
      </c>
      <c r="I19" s="61">
        <f t="shared" si="8"/>
        <v>0</v>
      </c>
      <c r="J19" s="66">
        <f t="shared" si="9"/>
        <v>0</v>
      </c>
      <c r="K19" s="36">
        <f t="shared" si="3"/>
        <v>0</v>
      </c>
      <c r="L19" s="63">
        <f t="shared" si="10"/>
        <v>0</v>
      </c>
    </row>
    <row r="20" spans="1:12" x14ac:dyDescent="0.25">
      <c r="A20" s="13">
        <f t="shared" si="6"/>
        <v>11</v>
      </c>
      <c r="B20" s="35" t="str">
        <f>IF(DanhMucSP!$B14="","",DanhMucSP!$B14)</f>
        <v>NHAMCHOI240</v>
      </c>
      <c r="C20" s="38" t="str">
        <f>IF(DanhMucSP!$D14="","",DanhMucSP!$C14)</f>
        <v>Nhám chỏi 240</v>
      </c>
      <c r="D20" s="36" t="str">
        <f>IF(DanhMucSP!$D14="","",DanhMucSP!$D14)</f>
        <v>Hộp</v>
      </c>
      <c r="E20" s="36">
        <f>SUMIFS(Nhap!G:G,Nhap!D:D,Kho!B20)</f>
        <v>0</v>
      </c>
      <c r="F20" s="61">
        <f>SUMIFS(Nhap!H:H,Nhap!E:E,Kho!C20)</f>
        <v>0</v>
      </c>
      <c r="G20" s="66">
        <f t="shared" si="7"/>
        <v>0</v>
      </c>
      <c r="H20" s="15">
        <f>SUMIFS(Xuat!F:F,Xuat!D:D,Kho!C20)</f>
        <v>0</v>
      </c>
      <c r="I20" s="61">
        <f t="shared" si="8"/>
        <v>0</v>
      </c>
      <c r="J20" s="66">
        <f t="shared" si="9"/>
        <v>0</v>
      </c>
      <c r="K20" s="36">
        <f t="shared" si="3"/>
        <v>0</v>
      </c>
      <c r="L20" s="63">
        <f t="shared" si="10"/>
        <v>0</v>
      </c>
    </row>
    <row r="21" spans="1:12" x14ac:dyDescent="0.25">
      <c r="A21" s="13">
        <f t="shared" si="6"/>
        <v>12</v>
      </c>
      <c r="B21" s="35" t="str">
        <f>IF(DanhMucSP!$B15="","",DanhMucSP!$B15)</f>
        <v>DAYNILON</v>
      </c>
      <c r="C21" s="38" t="str">
        <f>IF(DanhMucSP!$D15="","",DanhMucSP!$C15)</f>
        <v>Dây Nilon</v>
      </c>
      <c r="D21" s="36" t="str">
        <f>IF(DanhMucSP!$D15="","",DanhMucSP!$D15)</f>
        <v>Cuộn</v>
      </c>
      <c r="E21" s="36">
        <f>SUMIFS(Nhap!G:G,Nhap!D:D,Kho!B21)</f>
        <v>0</v>
      </c>
      <c r="F21" s="61">
        <f>SUMIFS(Nhap!H:H,Nhap!E:E,Kho!C21)</f>
        <v>0</v>
      </c>
      <c r="G21" s="66">
        <f t="shared" si="7"/>
        <v>0</v>
      </c>
      <c r="H21" s="15">
        <f>SUMIFS(Xuat!F:F,Xuat!D:D,Kho!C21)</f>
        <v>0</v>
      </c>
      <c r="I21" s="61">
        <f t="shared" si="8"/>
        <v>0</v>
      </c>
      <c r="J21" s="66">
        <f t="shared" si="9"/>
        <v>0</v>
      </c>
      <c r="K21" s="36">
        <f t="shared" si="3"/>
        <v>0</v>
      </c>
      <c r="L21" s="63">
        <f t="shared" si="10"/>
        <v>0</v>
      </c>
    </row>
    <row r="22" spans="1:12" x14ac:dyDescent="0.25">
      <c r="A22" s="13">
        <f t="shared" si="6"/>
        <v>13</v>
      </c>
      <c r="B22" s="35" t="str">
        <f>IF(DanhMucSP!$B16="","",DanhMucSP!$B16)</f>
        <v>CHOTGO10X30</v>
      </c>
      <c r="C22" s="38" t="str">
        <f>IF(DanhMucSP!$D16="","",DanhMucSP!$C16)</f>
        <v>Chốt 10x30</v>
      </c>
      <c r="D22" s="36" t="str">
        <f>IF(DanhMucSP!$D16="","",DanhMucSP!$D16)</f>
        <v>Kg</v>
      </c>
      <c r="E22" s="36">
        <f>SUMIFS(Nhap!G:G,Nhap!D:D,Kho!B22)</f>
        <v>0</v>
      </c>
      <c r="F22" s="61">
        <f>SUMIFS(Nhap!H:H,Nhap!E:E,Kho!C22)</f>
        <v>0</v>
      </c>
      <c r="G22" s="66">
        <f t="shared" si="7"/>
        <v>0</v>
      </c>
      <c r="H22" s="15">
        <f>SUMIFS(Xuat!F:F,Xuat!D:D,Kho!C22)</f>
        <v>0</v>
      </c>
      <c r="I22" s="61">
        <f t="shared" si="8"/>
        <v>0</v>
      </c>
      <c r="J22" s="66">
        <f t="shared" si="9"/>
        <v>0</v>
      </c>
      <c r="K22" s="36">
        <f t="shared" si="3"/>
        <v>0</v>
      </c>
      <c r="L22" s="63">
        <f t="shared" si="10"/>
        <v>0</v>
      </c>
    </row>
    <row r="23" spans="1:12" x14ac:dyDescent="0.25">
      <c r="A23" s="13">
        <f t="shared" si="6"/>
        <v>14</v>
      </c>
      <c r="B23" s="35" t="str">
        <f>IF(DanhMucSP!$B17="","",DanhMucSP!$B17)</f>
        <v>NHAMTHUNG320</v>
      </c>
      <c r="C23" s="38" t="str">
        <f>IF(DanhMucSP!$D17="","",DanhMucSP!$C17)</f>
        <v>Nhám thùng 320</v>
      </c>
      <c r="D23" s="36" t="str">
        <f>IF(DanhMucSP!$D17="","",DanhMucSP!$D17)</f>
        <v>Tờ</v>
      </c>
      <c r="E23" s="36">
        <f>SUMIFS(Nhap!G:G,Nhap!D:D,Kho!B23)</f>
        <v>0</v>
      </c>
      <c r="F23" s="61">
        <f>SUMIFS(Nhap!H:H,Nhap!E:E,Kho!C23)</f>
        <v>0</v>
      </c>
      <c r="G23" s="66">
        <f t="shared" si="7"/>
        <v>0</v>
      </c>
      <c r="H23" s="15">
        <f>SUMIFS(Xuat!F:F,Xuat!D:D,Kho!C23)</f>
        <v>0</v>
      </c>
      <c r="I23" s="61">
        <f t="shared" si="8"/>
        <v>0</v>
      </c>
      <c r="J23" s="66">
        <f t="shared" si="9"/>
        <v>0</v>
      </c>
      <c r="K23" s="36">
        <f t="shared" si="3"/>
        <v>0</v>
      </c>
      <c r="L23" s="63">
        <f t="shared" si="10"/>
        <v>0</v>
      </c>
    </row>
    <row r="24" spans="1:12" x14ac:dyDescent="0.25">
      <c r="A24" s="13">
        <f t="shared" si="6"/>
        <v>15</v>
      </c>
      <c r="B24" s="35" t="str">
        <f>IF(DanhMucSP!$B18="","",DanhMucSP!$B18)</f>
        <v>NHAMTHUNG240</v>
      </c>
      <c r="C24" s="38" t="str">
        <f>IF(DanhMucSP!$D18="","",DanhMucSP!$C18)</f>
        <v>Nhám thùng 240</v>
      </c>
      <c r="D24" s="36" t="str">
        <f>IF(DanhMucSP!$D18="","",DanhMucSP!$D18)</f>
        <v>Tờ</v>
      </c>
      <c r="E24" s="36">
        <v>50</v>
      </c>
      <c r="F24" s="61">
        <f>SUMIFS(Nhap!H:H,Nhap!E:E,Kho!C24)</f>
        <v>0</v>
      </c>
      <c r="G24" s="66">
        <f t="shared" si="7"/>
        <v>0</v>
      </c>
      <c r="H24" s="15">
        <f>SUMIFS(Xuat!F:F,Xuat!D:D,Kho!C24)</f>
        <v>0</v>
      </c>
      <c r="I24" s="61">
        <f t="shared" si="8"/>
        <v>0</v>
      </c>
      <c r="J24" s="66">
        <f t="shared" si="9"/>
        <v>0</v>
      </c>
      <c r="K24" s="36">
        <f t="shared" si="3"/>
        <v>50</v>
      </c>
      <c r="L24" s="63">
        <f t="shared" si="10"/>
        <v>0</v>
      </c>
    </row>
    <row r="25" spans="1:12" x14ac:dyDescent="0.25">
      <c r="A25" s="13">
        <f t="shared" si="6"/>
        <v>16</v>
      </c>
      <c r="B25" s="35" t="str">
        <f>IF(DanhMucSP!$B19="","",DanhMucSP!$B19)</f>
        <v>NHAMTHUNG200</v>
      </c>
      <c r="C25" s="38" t="str">
        <f>IF(DanhMucSP!$D19="","",DanhMucSP!$C19)</f>
        <v>Nhám thùng 200</v>
      </c>
      <c r="D25" s="36" t="str">
        <f>IF(DanhMucSP!$D19="","",DanhMucSP!$D19)</f>
        <v>Tờ</v>
      </c>
      <c r="E25" s="36">
        <f>SUMIFS(Nhap!G:G,Nhap!D:D,Kho!B25)</f>
        <v>0</v>
      </c>
      <c r="F25" s="61">
        <f>SUMIFS(Nhap!H:H,Nhap!E:E,Kho!C25)</f>
        <v>0</v>
      </c>
      <c r="G25" s="66">
        <f t="shared" si="7"/>
        <v>0</v>
      </c>
      <c r="H25" s="15">
        <f>SUMIFS(Xuat!F:F,Xuat!D:D,Kho!C25)</f>
        <v>0</v>
      </c>
      <c r="I25" s="61">
        <f t="shared" si="8"/>
        <v>0</v>
      </c>
      <c r="J25" s="66">
        <f t="shared" si="9"/>
        <v>0</v>
      </c>
      <c r="K25" s="36">
        <f t="shared" si="3"/>
        <v>0</v>
      </c>
      <c r="L25" s="63">
        <f t="shared" si="10"/>
        <v>0</v>
      </c>
    </row>
    <row r="26" spans="1:12" x14ac:dyDescent="0.25">
      <c r="A26" s="13">
        <f t="shared" si="6"/>
        <v>17</v>
      </c>
      <c r="B26" s="35" t="str">
        <f>IF(DanhMucSP!$B20="","",DanhMucSP!$B20)</f>
        <v>NHAMTHUNG180</v>
      </c>
      <c r="C26" s="38" t="str">
        <f>IF(DanhMucSP!$D20="","",DanhMucSP!$C20)</f>
        <v>Nhám thùng 180</v>
      </c>
      <c r="D26" s="36" t="str">
        <f>IF(DanhMucSP!$D20="","",DanhMucSP!$D20)</f>
        <v>Tờ</v>
      </c>
      <c r="E26" s="36">
        <f>SUMIFS(Nhap!G:G,Nhap!D:D,Kho!B26)</f>
        <v>0</v>
      </c>
      <c r="F26" s="61">
        <f>SUMIFS(Nhap!H:H,Nhap!E:E,Kho!C26)</f>
        <v>0</v>
      </c>
      <c r="G26" s="66">
        <f t="shared" si="7"/>
        <v>0</v>
      </c>
      <c r="H26" s="15">
        <f>SUMIFS(Xuat!F:F,Xuat!D:D,Kho!C26)</f>
        <v>0</v>
      </c>
      <c r="I26" s="61">
        <f t="shared" si="8"/>
        <v>0</v>
      </c>
      <c r="J26" s="66">
        <f t="shared" si="9"/>
        <v>0</v>
      </c>
      <c r="K26" s="36">
        <f t="shared" si="3"/>
        <v>0</v>
      </c>
      <c r="L26" s="63">
        <f t="shared" si="10"/>
        <v>0</v>
      </c>
    </row>
    <row r="27" spans="1:12" x14ac:dyDescent="0.25">
      <c r="A27" s="13">
        <f t="shared" si="6"/>
        <v>18</v>
      </c>
      <c r="B27" s="35" t="str">
        <f>IF(DanhMucSP!$B21="","",DanhMucSP!$B21)</f>
        <v>NHAMTHUNG120</v>
      </c>
      <c r="C27" s="38" t="str">
        <f>IF(DanhMucSP!$D21="","",DanhMucSP!$C21)</f>
        <v>Nhám thùng 120</v>
      </c>
      <c r="D27" s="36" t="str">
        <f>IF(DanhMucSP!$D21="","",DanhMucSP!$D21)</f>
        <v>Tờ</v>
      </c>
      <c r="E27" s="36">
        <f>SUMIFS(Nhap!G:G,Nhap!D:D,Kho!B27)</f>
        <v>0</v>
      </c>
      <c r="F27" s="61">
        <f>SUMIFS(Nhap!H:H,Nhap!E:E,Kho!C27)</f>
        <v>0</v>
      </c>
      <c r="G27" s="66">
        <f t="shared" si="7"/>
        <v>0</v>
      </c>
      <c r="H27" s="15">
        <f>SUMIFS(Xuat!F:F,Xuat!D:D,Kho!C27)</f>
        <v>0</v>
      </c>
      <c r="I27" s="61">
        <f t="shared" si="8"/>
        <v>0</v>
      </c>
      <c r="J27" s="66">
        <f t="shared" si="9"/>
        <v>0</v>
      </c>
      <c r="K27" s="36">
        <f t="shared" si="3"/>
        <v>0</v>
      </c>
      <c r="L27" s="63">
        <f t="shared" si="10"/>
        <v>0</v>
      </c>
    </row>
    <row r="28" spans="1:12" x14ac:dyDescent="0.25">
      <c r="A28" s="13">
        <f t="shared" si="6"/>
        <v>19</v>
      </c>
      <c r="B28" s="35" t="str">
        <f>IF(DanhMucSP!$B22="","",DanhMucSP!$B22)</f>
        <v>NHAMCANTRON100</v>
      </c>
      <c r="C28" s="38" t="str">
        <f>IF(DanhMucSP!$D22="","",DanhMucSP!$C22)</f>
        <v>Nhám cán tròn 100</v>
      </c>
      <c r="D28" s="36" t="str">
        <f>IF(DanhMucSP!$D22="","",DanhMucSP!$D22)</f>
        <v>Tờ</v>
      </c>
      <c r="E28" s="36">
        <f>SUMIFS(Nhap!G:G,Nhap!D:D,Kho!B28)</f>
        <v>0</v>
      </c>
      <c r="F28" s="61">
        <f>SUMIFS(Nhap!H:H,Nhap!E:E,Kho!C28)</f>
        <v>0</v>
      </c>
      <c r="G28" s="66">
        <f t="shared" si="7"/>
        <v>0</v>
      </c>
      <c r="H28" s="15">
        <f>SUMIFS(Xuat!F:F,Xuat!D:D,Kho!C28)</f>
        <v>0</v>
      </c>
      <c r="I28" s="61">
        <f t="shared" si="8"/>
        <v>0</v>
      </c>
      <c r="J28" s="66">
        <f t="shared" si="9"/>
        <v>0</v>
      </c>
      <c r="K28" s="36">
        <f t="shared" si="3"/>
        <v>0</v>
      </c>
      <c r="L28" s="63">
        <f t="shared" si="10"/>
        <v>0</v>
      </c>
    </row>
    <row r="29" spans="1:12" x14ac:dyDescent="0.25">
      <c r="A29" s="13">
        <f t="shared" si="6"/>
        <v>20</v>
      </c>
      <c r="B29" s="35" t="str">
        <f>IF(DanhMucSP!$B23="","",DanhMucSP!$B23)</f>
        <v>NHAMCANTRON240</v>
      </c>
      <c r="C29" s="38" t="str">
        <f>IF(DanhMucSP!$D23="","",DanhMucSP!$C23)</f>
        <v>Nhám cán tròn 240</v>
      </c>
      <c r="D29" s="36" t="str">
        <f>IF(DanhMucSP!$D23="","",DanhMucSP!$D23)</f>
        <v>Tờ</v>
      </c>
      <c r="E29" s="36">
        <f>SUMIFS(Nhap!G:G,Nhap!D:D,Kho!B29)</f>
        <v>0</v>
      </c>
      <c r="F29" s="61">
        <f>SUMIFS(Nhap!H:H,Nhap!E:E,Kho!C29)</f>
        <v>0</v>
      </c>
      <c r="G29" s="66">
        <f t="shared" si="7"/>
        <v>0</v>
      </c>
      <c r="H29" s="15">
        <f>SUMIFS(Xuat!F:F,Xuat!D:D,Kho!C29)</f>
        <v>0</v>
      </c>
      <c r="I29" s="61">
        <f t="shared" si="8"/>
        <v>0</v>
      </c>
      <c r="J29" s="66">
        <f t="shared" si="9"/>
        <v>0</v>
      </c>
      <c r="K29" s="36">
        <f t="shared" si="3"/>
        <v>0</v>
      </c>
      <c r="L29" s="63">
        <f t="shared" si="10"/>
        <v>0</v>
      </c>
    </row>
    <row r="30" spans="1:12" x14ac:dyDescent="0.25">
      <c r="A30" s="13">
        <f t="shared" si="6"/>
        <v>21</v>
      </c>
      <c r="B30" s="35" t="str">
        <f>IF(DanhMucSP!$B24="","",DanhMucSP!$B24)</f>
        <v>NHAMBANG120</v>
      </c>
      <c r="C30" s="38" t="str">
        <f>IF(DanhMucSP!$D24="","",DanhMucSP!$C24)</f>
        <v>Nhám vòng cánh 120</v>
      </c>
      <c r="D30" s="36" t="str">
        <f>IF(DanhMucSP!$D24="","",DanhMucSP!$D24)</f>
        <v>Tờ</v>
      </c>
      <c r="E30" s="36">
        <f>SUMIFS(Nhap!G:G,Nhap!D:D,Kho!B30)</f>
        <v>0</v>
      </c>
      <c r="F30" s="61">
        <f>SUMIFS(Nhap!H:H,Nhap!E:E,Kho!C30)</f>
        <v>0</v>
      </c>
      <c r="G30" s="66">
        <f t="shared" si="7"/>
        <v>0</v>
      </c>
      <c r="H30" s="15">
        <f>SUMIFS(Xuat!F:F,Xuat!D:D,Kho!C30)</f>
        <v>0</v>
      </c>
      <c r="I30" s="61">
        <f t="shared" si="8"/>
        <v>0</v>
      </c>
      <c r="J30" s="66">
        <f t="shared" si="9"/>
        <v>0</v>
      </c>
      <c r="K30" s="36">
        <f t="shared" si="3"/>
        <v>0</v>
      </c>
      <c r="L30" s="63">
        <f t="shared" si="10"/>
        <v>0</v>
      </c>
    </row>
    <row r="31" spans="1:12" x14ac:dyDescent="0.25">
      <c r="A31" s="13">
        <f t="shared" si="6"/>
        <v>22</v>
      </c>
      <c r="B31" s="35" t="str">
        <f>IF(DanhMucSP!$B25="","",DanhMucSP!$B25)</f>
        <v>NHAMBANGL180</v>
      </c>
      <c r="C31" s="38" t="str">
        <f>IF(DanhMucSP!$D25="","",DanhMucSP!$C25)</f>
        <v>Nhám vòng cánh 180</v>
      </c>
      <c r="D31" s="36" t="str">
        <f>IF(DanhMucSP!$D25="","",DanhMucSP!$D25)</f>
        <v>Tờ</v>
      </c>
      <c r="E31" s="36">
        <f>SUMIFS(Nhap!G:G,Nhap!D:D,Kho!B31)</f>
        <v>0</v>
      </c>
      <c r="F31" s="61">
        <f>SUMIFS(Nhap!H:H,Nhap!E:E,Kho!C31)</f>
        <v>0</v>
      </c>
      <c r="G31" s="66">
        <f t="shared" si="7"/>
        <v>0</v>
      </c>
      <c r="H31" s="15">
        <f>SUMIFS(Xuat!F:F,Xuat!D:D,Kho!C31)</f>
        <v>0</v>
      </c>
      <c r="I31" s="61">
        <f t="shared" si="8"/>
        <v>0</v>
      </c>
      <c r="J31" s="66">
        <f t="shared" si="9"/>
        <v>0</v>
      </c>
      <c r="K31" s="36">
        <f t="shared" si="3"/>
        <v>0</v>
      </c>
      <c r="L31" s="63">
        <f t="shared" si="10"/>
        <v>0</v>
      </c>
    </row>
    <row r="32" spans="1:12" x14ac:dyDescent="0.25">
      <c r="A32" s="13">
        <f t="shared" si="6"/>
        <v>23</v>
      </c>
      <c r="B32" s="35" t="str">
        <f>IF(DanhMucSP!$B26="","",DanhMucSP!$B26)</f>
        <v>NHAMBANGL240</v>
      </c>
      <c r="C32" s="38" t="str">
        <f>IF(DanhMucSP!$D26="","",DanhMucSP!$C26)</f>
        <v>Nhám vòng cánh 240</v>
      </c>
      <c r="D32" s="36" t="str">
        <f>IF(DanhMucSP!$D26="","",DanhMucSP!$D26)</f>
        <v>Tờ</v>
      </c>
      <c r="E32" s="36">
        <f>SUMIFS(Nhap!G:G,Nhap!D:D,Kho!B32)</f>
        <v>0</v>
      </c>
      <c r="F32" s="61">
        <f>SUMIFS(Nhap!H:H,Nhap!E:E,Kho!C32)</f>
        <v>0</v>
      </c>
      <c r="G32" s="66">
        <f t="shared" si="7"/>
        <v>0</v>
      </c>
      <c r="H32" s="15">
        <f>SUMIFS(Xuat!F:F,Xuat!D:D,Kho!C32)</f>
        <v>0</v>
      </c>
      <c r="I32" s="61">
        <f t="shared" si="8"/>
        <v>0</v>
      </c>
      <c r="J32" s="66">
        <f t="shared" si="9"/>
        <v>0</v>
      </c>
      <c r="K32" s="36">
        <f t="shared" si="3"/>
        <v>0</v>
      </c>
      <c r="L32" s="63">
        <f t="shared" si="10"/>
        <v>0</v>
      </c>
    </row>
    <row r="33" spans="1:12" x14ac:dyDescent="0.25">
      <c r="A33" s="13">
        <f t="shared" si="6"/>
        <v>24</v>
      </c>
      <c r="B33" s="35" t="str">
        <f>IF(DanhMucSP!$B27="","",DanhMucSP!$B27)</f>
        <v>NHAMBANGL150</v>
      </c>
      <c r="C33" s="38" t="str">
        <f>IF(DanhMucSP!$D27="","",DanhMucSP!$C27)</f>
        <v>Nhám vòng nhỏ 150</v>
      </c>
      <c r="D33" s="36" t="str">
        <f>IF(DanhMucSP!$D27="","",DanhMucSP!$D27)</f>
        <v>Tờ</v>
      </c>
      <c r="E33" s="36">
        <f>SUMIFS(Nhap!G:G,Nhap!D:D,Kho!B33)</f>
        <v>0</v>
      </c>
      <c r="F33" s="61">
        <f>SUMIFS(Nhap!H:H,Nhap!E:E,Kho!C33)</f>
        <v>0</v>
      </c>
      <c r="G33" s="66">
        <f t="shared" si="7"/>
        <v>0</v>
      </c>
      <c r="H33" s="15">
        <f>SUMIFS(Xuat!F:F,Xuat!D:D,Kho!C33)</f>
        <v>0</v>
      </c>
      <c r="I33" s="61">
        <f t="shared" si="8"/>
        <v>0</v>
      </c>
      <c r="J33" s="66">
        <f t="shared" si="9"/>
        <v>0</v>
      </c>
      <c r="K33" s="36">
        <f t="shared" si="3"/>
        <v>0</v>
      </c>
      <c r="L33" s="63">
        <f t="shared" si="10"/>
        <v>0</v>
      </c>
    </row>
    <row r="34" spans="1:12" x14ac:dyDescent="0.25">
      <c r="A34" s="13">
        <f t="shared" si="6"/>
        <v>25</v>
      </c>
      <c r="B34" s="35" t="str">
        <f>IF(DanhMucSP!$B28="","",DanhMucSP!$B28)</f>
        <v>NHAMBANGN180</v>
      </c>
      <c r="C34" s="38" t="str">
        <f>IF(DanhMucSP!$D28="","",DanhMucSP!$C28)</f>
        <v>Nhám vòng nhỏ 180</v>
      </c>
      <c r="D34" s="36" t="str">
        <f>IF(DanhMucSP!$D28="","",DanhMucSP!$D28)</f>
        <v>Tờ</v>
      </c>
      <c r="E34" s="36">
        <f>SUMIFS(Nhap!G:G,Nhap!D:D,Kho!B34)</f>
        <v>0</v>
      </c>
      <c r="F34" s="61">
        <f>SUMIFS(Nhap!H:H,Nhap!E:E,Kho!C34)</f>
        <v>0</v>
      </c>
      <c r="G34" s="66">
        <f t="shared" si="7"/>
        <v>0</v>
      </c>
      <c r="H34" s="15">
        <f>SUMIFS(Xuat!F:F,Xuat!D:D,Kho!C34)</f>
        <v>0</v>
      </c>
      <c r="I34" s="61">
        <f t="shared" si="8"/>
        <v>0</v>
      </c>
      <c r="J34" s="66">
        <f t="shared" si="9"/>
        <v>0</v>
      </c>
      <c r="K34" s="36">
        <f t="shared" si="3"/>
        <v>0</v>
      </c>
      <c r="L34" s="63">
        <f t="shared" si="10"/>
        <v>0</v>
      </c>
    </row>
    <row r="35" spans="1:12" x14ac:dyDescent="0.25">
      <c r="A35" s="13">
        <f t="shared" si="6"/>
        <v>26</v>
      </c>
      <c r="B35" s="35" t="str">
        <f>IF(DanhMucSP!$B29="","",DanhMucSP!$B29)</f>
        <v>NHAMMAI100</v>
      </c>
      <c r="C35" s="38" t="str">
        <f>IF(DanhMucSP!$D29="","",DanhMucSP!$C29)</f>
        <v>Nhám mài 100</v>
      </c>
      <c r="D35" s="36" t="str">
        <f>IF(DanhMucSP!$D29="","",DanhMucSP!$D29)</f>
        <v>Tờ</v>
      </c>
      <c r="E35" s="36">
        <f>SUMIFS(Nhap!G:G,Nhap!D:D,Kho!B35)</f>
        <v>0</v>
      </c>
      <c r="F35" s="61">
        <f>SUMIFS(Nhap!H:H,Nhap!E:E,Kho!C35)</f>
        <v>0</v>
      </c>
      <c r="G35" s="66">
        <f t="shared" si="7"/>
        <v>0</v>
      </c>
      <c r="H35" s="15">
        <f>SUMIFS(Xuat!F:F,Xuat!D:D,Kho!C35)</f>
        <v>0</v>
      </c>
      <c r="I35" s="61">
        <f t="shared" si="8"/>
        <v>0</v>
      </c>
      <c r="J35" s="66">
        <f t="shared" si="9"/>
        <v>0</v>
      </c>
      <c r="K35" s="36">
        <f t="shared" si="3"/>
        <v>0</v>
      </c>
      <c r="L35" s="63">
        <f t="shared" si="10"/>
        <v>0</v>
      </c>
    </row>
    <row r="36" spans="1:12" x14ac:dyDescent="0.25">
      <c r="A36" s="13">
        <f t="shared" si="6"/>
        <v>27</v>
      </c>
      <c r="B36" s="35" t="str">
        <f>IF(DanhMucSP!$B30="","",DanhMucSP!$B30)</f>
        <v>NHAMMAI240</v>
      </c>
      <c r="C36" s="38" t="str">
        <f>IF(DanhMucSP!$D30="","",DanhMucSP!$C30)</f>
        <v>Nhám mài 240</v>
      </c>
      <c r="D36" s="36" t="str">
        <f>IF(DanhMucSP!$D30="","",DanhMucSP!$D30)</f>
        <v>Tờ</v>
      </c>
      <c r="E36" s="36">
        <f>SUMIFS(Nhap!G:G,Nhap!D:D,Kho!B36)</f>
        <v>0</v>
      </c>
      <c r="F36" s="61">
        <f>SUMIFS(Nhap!H:H,Nhap!E:E,Kho!C36)</f>
        <v>0</v>
      </c>
      <c r="G36" s="66">
        <f t="shared" si="7"/>
        <v>0</v>
      </c>
      <c r="H36" s="15">
        <f>SUMIFS(Xuat!F:F,Xuat!D:D,Kho!C36)</f>
        <v>0</v>
      </c>
      <c r="I36" s="61">
        <f t="shared" si="8"/>
        <v>0</v>
      </c>
      <c r="J36" s="66">
        <f t="shared" si="9"/>
        <v>0</v>
      </c>
      <c r="K36" s="36">
        <f t="shared" si="3"/>
        <v>0</v>
      </c>
      <c r="L36" s="63">
        <f t="shared" si="10"/>
        <v>0</v>
      </c>
    </row>
    <row r="37" spans="1:12" x14ac:dyDescent="0.25">
      <c r="A37" s="13">
        <f t="shared" si="6"/>
        <v>28</v>
      </c>
      <c r="B37" s="35" t="str">
        <f>IF(DanhMucSP!$B31="","",DanhMucSP!$B31)</f>
        <v>NHAMMAI180</v>
      </c>
      <c r="C37" s="38" t="str">
        <f>IF(DanhMucSP!$D31="","",DanhMucSP!$C31)</f>
        <v>Nhám mài 180</v>
      </c>
      <c r="D37" s="36" t="str">
        <f>IF(DanhMucSP!$D31="","",DanhMucSP!$D31)</f>
        <v>Tờ</v>
      </c>
      <c r="E37" s="36">
        <f>SUMIFS(Nhap!G:G,Nhap!D:D,Kho!B37)</f>
        <v>0</v>
      </c>
      <c r="F37" s="61">
        <f>SUMIFS(Nhap!H:H,Nhap!E:E,Kho!C37)</f>
        <v>0</v>
      </c>
      <c r="G37" s="66">
        <f t="shared" si="7"/>
        <v>0</v>
      </c>
      <c r="H37" s="15">
        <f>SUMIFS(Xuat!F:F,Xuat!D:D,Kho!C37)</f>
        <v>0</v>
      </c>
      <c r="I37" s="61">
        <f t="shared" si="8"/>
        <v>0</v>
      </c>
      <c r="J37" s="66">
        <f t="shared" si="9"/>
        <v>0</v>
      </c>
      <c r="K37" s="36">
        <f t="shared" si="3"/>
        <v>0</v>
      </c>
      <c r="L37" s="63">
        <f t="shared" si="10"/>
        <v>0</v>
      </c>
    </row>
    <row r="38" spans="1:12" x14ac:dyDescent="0.25">
      <c r="A38" s="13">
        <f t="shared" si="6"/>
        <v>29</v>
      </c>
      <c r="B38" s="35" t="str">
        <f>IF(DanhMucSP!$B32="","",DanhMucSP!$B32)</f>
        <v>NHAMGIAY240</v>
      </c>
      <c r="C38" s="38" t="str">
        <f>IF(DanhMucSP!$D32="","",DanhMucSP!$C32)</f>
        <v>Nhám giấy 240</v>
      </c>
      <c r="D38" s="36" t="str">
        <f>IF(DanhMucSP!$D32="","",DanhMucSP!$D32)</f>
        <v>Tờ</v>
      </c>
      <c r="E38" s="36">
        <f>SUMIFS(Nhap!G:G,Nhap!D:D,Kho!B38)</f>
        <v>0</v>
      </c>
      <c r="F38" s="61">
        <f>SUMIFS(Nhap!H:H,Nhap!E:E,Kho!C38)</f>
        <v>0</v>
      </c>
      <c r="G38" s="66">
        <f t="shared" si="7"/>
        <v>0</v>
      </c>
      <c r="H38" s="15">
        <f>SUMIFS(Xuat!F:F,Xuat!D:D,Kho!C38)</f>
        <v>0</v>
      </c>
      <c r="I38" s="61">
        <f t="shared" si="8"/>
        <v>0</v>
      </c>
      <c r="J38" s="66">
        <f t="shared" si="9"/>
        <v>0</v>
      </c>
      <c r="K38" s="36">
        <f t="shared" si="3"/>
        <v>0</v>
      </c>
      <c r="L38" s="63">
        <f t="shared" si="10"/>
        <v>0</v>
      </c>
    </row>
    <row r="39" spans="1:12" x14ac:dyDescent="0.25">
      <c r="A39" s="13">
        <f t="shared" si="6"/>
        <v>30</v>
      </c>
      <c r="B39" s="35" t="str">
        <f>IF(DanhMucSP!$B33="","",DanhMucSP!$B33)</f>
        <v>NHAMTRONVAI180</v>
      </c>
      <c r="C39" s="38" t="str">
        <f>IF(DanhMucSP!$D33="","",DanhMucSP!$C33)</f>
        <v>Nhám tròn 180</v>
      </c>
      <c r="D39" s="36" t="str">
        <f>IF(DanhMucSP!$D33="","",DanhMucSP!$D33)</f>
        <v>Tờ</v>
      </c>
      <c r="E39" s="36">
        <f>SUMIFS(Nhap!G:G,Nhap!D:D,Kho!B39)</f>
        <v>0</v>
      </c>
      <c r="F39" s="61">
        <f>SUMIFS(Nhap!H:H,Nhap!E:E,Kho!C39)</f>
        <v>0</v>
      </c>
      <c r="G39" s="66">
        <f t="shared" si="7"/>
        <v>0</v>
      </c>
      <c r="H39" s="15">
        <f>SUMIFS(Xuat!F:F,Xuat!D:D,Kho!C39)</f>
        <v>0</v>
      </c>
      <c r="I39" s="61">
        <f t="shared" si="8"/>
        <v>0</v>
      </c>
      <c r="J39" s="66">
        <f t="shared" si="9"/>
        <v>0</v>
      </c>
      <c r="K39" s="36">
        <f t="shared" si="3"/>
        <v>0</v>
      </c>
      <c r="L39" s="63">
        <f t="shared" si="10"/>
        <v>0</v>
      </c>
    </row>
    <row r="40" spans="1:12" x14ac:dyDescent="0.25">
      <c r="A40" s="13">
        <f t="shared" si="6"/>
        <v>31</v>
      </c>
      <c r="B40" s="35" t="str">
        <f>IF(DanhMucSP!$B34="","",DanhMucSP!$B34)</f>
        <v>KEO502LON</v>
      </c>
      <c r="C40" s="38" t="str">
        <f>IF(DanhMucSP!$D34="","",DanhMucSP!$C34)</f>
        <v>Keo 502 lớn</v>
      </c>
      <c r="D40" s="36" t="str">
        <f>IF(DanhMucSP!$D34="","",DanhMucSP!$D34)</f>
        <v>Chai</v>
      </c>
      <c r="E40" s="36">
        <f>SUMIFS(Nhap!G:G,Nhap!D:D,Kho!B40)</f>
        <v>0</v>
      </c>
      <c r="F40" s="61">
        <f>SUMIFS(Nhap!H:H,Nhap!E:E,Kho!C40)</f>
        <v>0</v>
      </c>
      <c r="G40" s="66">
        <f t="shared" si="7"/>
        <v>0</v>
      </c>
      <c r="H40" s="15">
        <f>SUMIFS(Xuat!F:F,Xuat!D:D,Kho!C40)</f>
        <v>0</v>
      </c>
      <c r="I40" s="61">
        <f t="shared" si="8"/>
        <v>0</v>
      </c>
      <c r="J40" s="66">
        <f t="shared" si="9"/>
        <v>0</v>
      </c>
      <c r="K40" s="36">
        <f t="shared" si="3"/>
        <v>0</v>
      </c>
      <c r="L40" s="63">
        <f t="shared" si="10"/>
        <v>0</v>
      </c>
    </row>
    <row r="41" spans="1:12" x14ac:dyDescent="0.25">
      <c r="A41" s="13">
        <f t="shared" si="6"/>
        <v>32</v>
      </c>
      <c r="B41" s="35" t="str">
        <f>IF(DanhMucSP!$B35="","",DanhMucSP!$B35)</f>
        <v>KEOA13</v>
      </c>
      <c r="C41" s="38" t="str">
        <f>IF(DanhMucSP!$D35="","",DanhMucSP!$C35)</f>
        <v>Keo A13</v>
      </c>
      <c r="D41" s="36" t="str">
        <f>IF(DanhMucSP!$D35="","",DanhMucSP!$D35)</f>
        <v>Thùng</v>
      </c>
      <c r="E41" s="36">
        <f>SUMIFS(Nhap!G:G,Nhap!D:D,Kho!B41)</f>
        <v>0</v>
      </c>
      <c r="F41" s="61">
        <f>SUMIFS(Nhap!H:H,Nhap!E:E,Kho!C41)</f>
        <v>0</v>
      </c>
      <c r="G41" s="66">
        <f t="shared" si="7"/>
        <v>0</v>
      </c>
      <c r="H41" s="15">
        <f>SUMIFS(Xuat!F:F,Xuat!D:D,Kho!C41)</f>
        <v>0</v>
      </c>
      <c r="I41" s="61">
        <f t="shared" si="8"/>
        <v>0</v>
      </c>
      <c r="J41" s="66">
        <f t="shared" si="9"/>
        <v>0</v>
      </c>
      <c r="K41" s="36">
        <f t="shared" si="3"/>
        <v>0</v>
      </c>
      <c r="L41" s="63">
        <f t="shared" si="10"/>
        <v>0</v>
      </c>
    </row>
    <row r="42" spans="1:12" x14ac:dyDescent="0.25">
      <c r="A42" s="13">
        <f t="shared" si="6"/>
        <v>33</v>
      </c>
      <c r="B42" s="35" t="str">
        <f>IF(DanhMucSP!$B36="","",DanhMucSP!$B36)</f>
        <v>MANPE</v>
      </c>
      <c r="C42" s="38" t="str">
        <f>IF(DanhMucSP!$D36="","",DanhMucSP!$C36)</f>
        <v>Bê ơ</v>
      </c>
      <c r="D42" s="36" t="str">
        <f>IF(DanhMucSP!$D36="","",DanhMucSP!$D36)</f>
        <v>Cuộn</v>
      </c>
      <c r="E42" s="36">
        <f>SUMIFS(Nhap!G:G,Nhap!D:D,Kho!B42)</f>
        <v>0</v>
      </c>
      <c r="F42" s="61">
        <f>SUMIFS(Nhap!H:H,Nhap!E:E,Kho!C42)</f>
        <v>0</v>
      </c>
      <c r="G42" s="66">
        <f t="shared" si="7"/>
        <v>0</v>
      </c>
      <c r="H42" s="15">
        <f>SUMIFS(Xuat!F:F,Xuat!D:D,Kho!C42)</f>
        <v>0</v>
      </c>
      <c r="I42" s="61">
        <f t="shared" si="8"/>
        <v>0</v>
      </c>
      <c r="J42" s="66">
        <f t="shared" si="9"/>
        <v>0</v>
      </c>
      <c r="K42" s="36">
        <f t="shared" si="3"/>
        <v>0</v>
      </c>
      <c r="L42" s="63">
        <f t="shared" si="10"/>
        <v>0</v>
      </c>
    </row>
    <row r="43" spans="1:12" x14ac:dyDescent="0.25">
      <c r="A43" s="13">
        <f t="shared" si="6"/>
        <v>34</v>
      </c>
      <c r="B43" s="35" t="str">
        <f>IF(DanhMucSP!$B37="","",DanhMucSP!$B37)</f>
        <v>NHAM</v>
      </c>
      <c r="C43" s="38" t="str">
        <f>IF(DanhMucSP!$D37="","",DanhMucSP!$C37)</f>
        <v>Nhám tròn giấy</v>
      </c>
      <c r="D43" s="36" t="str">
        <f>IF(DanhMucSP!$D37="","",DanhMucSP!$D37)</f>
        <v>Tờ</v>
      </c>
      <c r="E43" s="36">
        <f>SUMIFS(Nhap!G:G,Nhap!D:D,Kho!B43)</f>
        <v>0</v>
      </c>
      <c r="F43" s="61">
        <f>SUMIFS(Nhap!H:H,Nhap!E:E,Kho!C43)</f>
        <v>0</v>
      </c>
      <c r="G43" s="66">
        <f t="shared" si="7"/>
        <v>0</v>
      </c>
      <c r="H43" s="15">
        <f>SUMIFS(Xuat!F:F,Xuat!D:D,Kho!C43)</f>
        <v>0</v>
      </c>
      <c r="I43" s="61">
        <f t="shared" si="8"/>
        <v>0</v>
      </c>
      <c r="J43" s="66">
        <f t="shared" si="9"/>
        <v>0</v>
      </c>
      <c r="K43" s="36">
        <f t="shared" si="3"/>
        <v>0</v>
      </c>
      <c r="L43" s="63">
        <f t="shared" si="10"/>
        <v>0</v>
      </c>
    </row>
    <row r="44" spans="1:12" x14ac:dyDescent="0.25">
      <c r="A44" s="13">
        <f t="shared" si="6"/>
        <v>35</v>
      </c>
      <c r="B44" s="35" t="str">
        <f>IF(DanhMucSP!$B38="","",DanhMucSP!$B38)</f>
        <v>NHAMCOCCUON</v>
      </c>
      <c r="C44" s="38" t="str">
        <f>IF(DanhMucSP!$D38="","",DanhMucSP!$C38)</f>
        <v>Nhám cóc cuộn</v>
      </c>
      <c r="D44" s="36" t="str">
        <f>IF(DanhMucSP!$D38="","",DanhMucSP!$D38)</f>
        <v>Cuộn</v>
      </c>
      <c r="E44" s="36">
        <f>SUMIFS(Nhap!G:G,Nhap!D:D,Kho!B44)</f>
        <v>0</v>
      </c>
      <c r="F44" s="61">
        <f>SUMIFS(Nhap!H:H,Nhap!E:E,Kho!C44)</f>
        <v>0</v>
      </c>
      <c r="G44" s="66">
        <f t="shared" si="7"/>
        <v>0</v>
      </c>
      <c r="H44" s="15">
        <f>SUMIFS(Xuat!F:F,Xuat!D:D,Kho!C44)</f>
        <v>0</v>
      </c>
      <c r="I44" s="61">
        <f t="shared" si="8"/>
        <v>0</v>
      </c>
      <c r="J44" s="66">
        <f t="shared" si="9"/>
        <v>0</v>
      </c>
      <c r="K44" s="36">
        <f t="shared" si="3"/>
        <v>0</v>
      </c>
      <c r="L44" s="63">
        <f t="shared" si="10"/>
        <v>0</v>
      </c>
    </row>
    <row r="45" spans="1:12" x14ac:dyDescent="0.25">
      <c r="A45" s="13">
        <f t="shared" si="6"/>
        <v>36</v>
      </c>
      <c r="B45" s="35" t="str">
        <f>IF(DanhMucSP!$B39="","",DanhMucSP!$B39)</f>
        <v>BAOTAY</v>
      </c>
      <c r="C45" s="38" t="str">
        <f>IF(DanhMucSP!$D39="","",DanhMucSP!$C39)</f>
        <v>Bao tay</v>
      </c>
      <c r="D45" s="36" t="str">
        <f>IF(DanhMucSP!$D39="","",DanhMucSP!$D39)</f>
        <v>Bịch</v>
      </c>
      <c r="E45" s="36">
        <f>SUMIFS(Nhap!G:G,Nhap!D:D,Kho!B45)</f>
        <v>0</v>
      </c>
      <c r="F45" s="61">
        <f>SUMIFS(Nhap!H:H,Nhap!E:E,Kho!C45)</f>
        <v>0</v>
      </c>
      <c r="G45" s="66">
        <f t="shared" si="7"/>
        <v>0</v>
      </c>
      <c r="H45" s="15">
        <f>SUMIFS(Xuat!F:F,Xuat!D:D,Kho!C45)</f>
        <v>0</v>
      </c>
      <c r="I45" s="61">
        <f t="shared" si="8"/>
        <v>0</v>
      </c>
      <c r="J45" s="66">
        <f t="shared" si="9"/>
        <v>0</v>
      </c>
      <c r="K45" s="36">
        <f t="shared" si="3"/>
        <v>0</v>
      </c>
      <c r="L45" s="63">
        <f t="shared" si="10"/>
        <v>0</v>
      </c>
    </row>
    <row r="46" spans="1:12" x14ac:dyDescent="0.25">
      <c r="A46" s="13">
        <f t="shared" si="6"/>
        <v>37</v>
      </c>
      <c r="B46" s="35" t="str">
        <f>IF(DanhMucSP!$B40="","",DanhMucSP!$B40)</f>
        <v>VAIVUN</v>
      </c>
      <c r="C46" s="38" t="str">
        <f>IF(DanhMucSP!$D40="","",DanhMucSP!$C40)</f>
        <v>Vải vụn</v>
      </c>
      <c r="D46" s="36" t="str">
        <f>IF(DanhMucSP!$D40="","",DanhMucSP!$D40)</f>
        <v>Kg</v>
      </c>
      <c r="E46" s="36">
        <f>SUMIFS(Nhap!G:G,Nhap!D:D,Kho!B46)</f>
        <v>0</v>
      </c>
      <c r="F46" s="61">
        <f>SUMIFS(Nhap!H:H,Nhap!E:E,Kho!C46)</f>
        <v>0</v>
      </c>
      <c r="G46" s="66">
        <f t="shared" si="7"/>
        <v>0</v>
      </c>
      <c r="H46" s="15">
        <f>SUMIFS(Xuat!F:F,Xuat!D:D,Kho!C46)</f>
        <v>0</v>
      </c>
      <c r="I46" s="61">
        <f t="shared" si="8"/>
        <v>0</v>
      </c>
      <c r="J46" s="66">
        <f t="shared" si="9"/>
        <v>0</v>
      </c>
      <c r="K46" s="36">
        <f t="shared" si="3"/>
        <v>0</v>
      </c>
      <c r="L46" s="63">
        <f t="shared" si="10"/>
        <v>0</v>
      </c>
    </row>
    <row r="47" spans="1:12" x14ac:dyDescent="0.25">
      <c r="A47" s="13">
        <f t="shared" si="6"/>
        <v>38</v>
      </c>
      <c r="B47" s="35" t="str">
        <f>IF(DanhMucSP!$B41="","",DanhMucSP!$B41)</f>
        <v>NHAMTRONGIAY320</v>
      </c>
      <c r="C47" s="38" t="str">
        <f>IF(DanhMucSP!$D41="","",DanhMucSP!$C41)</f>
        <v>Nhám tròn giấy 320</v>
      </c>
      <c r="D47" s="36" t="str">
        <f>IF(DanhMucSP!$D41="","",DanhMucSP!$D41)</f>
        <v>Tờ</v>
      </c>
      <c r="E47" s="36">
        <f>SUMIFS(Nhap!G:G,Nhap!D:D,Kho!B47)</f>
        <v>0</v>
      </c>
      <c r="F47" s="61">
        <f>SUMIFS(Nhap!H:H,Nhap!E:E,Kho!C47)</f>
        <v>0</v>
      </c>
      <c r="G47" s="66">
        <f t="shared" si="7"/>
        <v>0</v>
      </c>
      <c r="H47" s="15">
        <f>SUMIFS(Xuat!F:F,Xuat!D:D,Kho!C47)</f>
        <v>0</v>
      </c>
      <c r="I47" s="61">
        <f t="shared" si="8"/>
        <v>0</v>
      </c>
      <c r="J47" s="66">
        <f t="shared" si="9"/>
        <v>0</v>
      </c>
      <c r="K47" s="36">
        <f t="shared" si="3"/>
        <v>0</v>
      </c>
      <c r="L47" s="63">
        <f t="shared" si="10"/>
        <v>0</v>
      </c>
    </row>
    <row r="48" spans="1:12" x14ac:dyDescent="0.25">
      <c r="A48" s="13">
        <f t="shared" si="6"/>
        <v>39</v>
      </c>
      <c r="B48" s="35" t="str">
        <f>IF(DanhMucSP!$B42="","",DanhMucSP!$B42)</f>
        <v>NHAMTRONGIAY240</v>
      </c>
      <c r="C48" s="38" t="str">
        <f>IF(DanhMucSP!$D42="","",DanhMucSP!$C42)</f>
        <v>Nhám tròn giấy 240</v>
      </c>
      <c r="D48" s="36" t="str">
        <f>IF(DanhMucSP!$D42="","",DanhMucSP!$D42)</f>
        <v>Tờ</v>
      </c>
      <c r="E48" s="36">
        <f>SUMIFS(Nhap!G:G,Nhap!D:D,Kho!B48)</f>
        <v>0</v>
      </c>
      <c r="F48" s="61">
        <f>SUMIFS(Nhap!H:H,Nhap!E:E,Kho!C48)</f>
        <v>0</v>
      </c>
      <c r="G48" s="66">
        <f t="shared" si="7"/>
        <v>0</v>
      </c>
      <c r="H48" s="15">
        <f>SUMIFS(Xuat!F:F,Xuat!D:D,Kho!C48)</f>
        <v>0</v>
      </c>
      <c r="I48" s="61">
        <f t="shared" si="8"/>
        <v>0</v>
      </c>
      <c r="J48" s="66">
        <f t="shared" si="9"/>
        <v>0</v>
      </c>
      <c r="K48" s="36">
        <f t="shared" si="3"/>
        <v>0</v>
      </c>
      <c r="L48" s="63">
        <f t="shared" si="10"/>
        <v>0</v>
      </c>
    </row>
    <row r="49" spans="1:12" x14ac:dyDescent="0.25">
      <c r="A49" s="13">
        <f t="shared" si="6"/>
        <v>40</v>
      </c>
      <c r="B49" s="35" t="str">
        <f>IF(DanhMucSP!$B43="","",DanhMucSP!$B43)</f>
        <v>NHAMTRONVAI240</v>
      </c>
      <c r="C49" s="38" t="str">
        <f>IF(DanhMucSP!$D43="","",DanhMucSP!$C43)</f>
        <v>Nhám tròn vải 240</v>
      </c>
      <c r="D49" s="36" t="str">
        <f>IF(DanhMucSP!$D43="","",DanhMucSP!$D43)</f>
        <v>Tờ</v>
      </c>
      <c r="E49" s="36">
        <f>SUMIFS(Nhap!G:G,Nhap!D:D,Kho!B49)</f>
        <v>0</v>
      </c>
      <c r="F49" s="61">
        <f>SUMIFS(Nhap!H:H,Nhap!E:E,Kho!C49)</f>
        <v>0</v>
      </c>
      <c r="G49" s="66">
        <f t="shared" si="7"/>
        <v>0</v>
      </c>
      <c r="H49" s="15">
        <f>SUMIFS(Xuat!F:F,Xuat!D:D,Kho!C49)</f>
        <v>0</v>
      </c>
      <c r="I49" s="61">
        <f t="shared" si="8"/>
        <v>0</v>
      </c>
      <c r="J49" s="66">
        <f t="shared" si="9"/>
        <v>0</v>
      </c>
      <c r="K49" s="36">
        <f t="shared" si="3"/>
        <v>0</v>
      </c>
      <c r="L49" s="63">
        <f t="shared" si="10"/>
        <v>0</v>
      </c>
    </row>
    <row r="50" spans="1:12" x14ac:dyDescent="0.25">
      <c r="A50" s="13">
        <f t="shared" si="6"/>
        <v>41</v>
      </c>
      <c r="B50" s="35" t="str">
        <f>IF(DanhMucSP!$B44="","",DanhMucSP!$B44)</f>
        <v>NHAMTRONVAI320</v>
      </c>
      <c r="C50" s="38" t="str">
        <f>IF(DanhMucSP!$D44="","",DanhMucSP!$C44)</f>
        <v>Nhám tròn vải 320</v>
      </c>
      <c r="D50" s="36" t="str">
        <f>IF(DanhMucSP!$D44="","",DanhMucSP!$D44)</f>
        <v>Tờ</v>
      </c>
      <c r="E50" s="36">
        <f>SUMIFS(Nhap!G:G,Nhap!D:D,Kho!B50)</f>
        <v>0</v>
      </c>
      <c r="F50" s="61">
        <f>SUMIFS(Nhap!H:H,Nhap!E:E,Kho!C50)</f>
        <v>0</v>
      </c>
      <c r="G50" s="66">
        <f t="shared" si="7"/>
        <v>0</v>
      </c>
      <c r="H50" s="15">
        <f>SUMIFS(Xuat!F:F,Xuat!D:D,Kho!C50)</f>
        <v>0</v>
      </c>
      <c r="I50" s="61">
        <f t="shared" si="8"/>
        <v>0</v>
      </c>
      <c r="J50" s="66">
        <f t="shared" si="9"/>
        <v>0</v>
      </c>
      <c r="K50" s="36">
        <f t="shared" si="3"/>
        <v>0</v>
      </c>
      <c r="L50" s="63">
        <f t="shared" si="10"/>
        <v>0</v>
      </c>
    </row>
    <row r="51" spans="1:12" x14ac:dyDescent="0.25">
      <c r="A51" s="13">
        <f t="shared" si="6"/>
        <v>42</v>
      </c>
      <c r="B51" s="35" t="str">
        <f>IF(DanhMucSP!$B45="","",DanhMucSP!$B45)</f>
        <v>NHAMGIAY320</v>
      </c>
      <c r="C51" s="38" t="str">
        <f>IF(DanhMucSP!$D45="","",DanhMucSP!$C45)</f>
        <v>Nhám giấy 320</v>
      </c>
      <c r="D51" s="36" t="str">
        <f>IF(DanhMucSP!$D45="","",DanhMucSP!$D45)</f>
        <v>Tờ</v>
      </c>
      <c r="E51" s="36">
        <f>SUMIFS(Nhap!G:G,Nhap!D:D,Kho!B51)</f>
        <v>0</v>
      </c>
      <c r="F51" s="61">
        <f>SUMIFS(Nhap!H:H,Nhap!E:E,Kho!C51)</f>
        <v>0</v>
      </c>
      <c r="G51" s="66">
        <f t="shared" si="7"/>
        <v>0</v>
      </c>
      <c r="H51" s="15">
        <f>SUMIFS(Xuat!F:F,Xuat!D:D,Kho!C51)</f>
        <v>0</v>
      </c>
      <c r="I51" s="61">
        <f t="shared" si="8"/>
        <v>0</v>
      </c>
      <c r="J51" s="66">
        <f t="shared" si="9"/>
        <v>0</v>
      </c>
      <c r="K51" s="36">
        <f t="shared" si="3"/>
        <v>0</v>
      </c>
      <c r="L51" s="63">
        <f t="shared" si="10"/>
        <v>0</v>
      </c>
    </row>
    <row r="52" spans="1:12" x14ac:dyDescent="0.25">
      <c r="A52" s="13">
        <f t="shared" si="6"/>
        <v>43</v>
      </c>
      <c r="B52" s="35" t="str">
        <f>IF(DanhMucSP!$B46="","",DanhMucSP!$B46)</f>
        <v>BOTCHET</v>
      </c>
      <c r="C52" s="38" t="str">
        <f>IF(DanhMucSP!$D46="","",DanhMucSP!$C46)</f>
        <v>Bột trét</v>
      </c>
      <c r="D52" s="36" t="str">
        <f>IF(DanhMucSP!$D46="","",DanhMucSP!$D46)</f>
        <v>Kg</v>
      </c>
      <c r="E52" s="36">
        <f>SUMIFS(Nhap!G:G,Nhap!D:D,Kho!B52)</f>
        <v>0</v>
      </c>
      <c r="F52" s="61">
        <f>SUMIFS(Nhap!H:H,Nhap!E:E,Kho!C52)</f>
        <v>0</v>
      </c>
      <c r="G52" s="66">
        <f t="shared" si="7"/>
        <v>0</v>
      </c>
      <c r="H52" s="15">
        <f>SUMIFS(Xuat!F:F,Xuat!D:D,Kho!C52)</f>
        <v>0</v>
      </c>
      <c r="I52" s="61">
        <f t="shared" si="8"/>
        <v>0</v>
      </c>
      <c r="J52" s="66">
        <f t="shared" si="9"/>
        <v>0</v>
      </c>
      <c r="K52" s="36">
        <f t="shared" si="3"/>
        <v>0</v>
      </c>
      <c r="L52" s="63">
        <f t="shared" si="10"/>
        <v>0</v>
      </c>
    </row>
    <row r="53" spans="1:12" x14ac:dyDescent="0.25">
      <c r="A53" s="13">
        <f t="shared" si="6"/>
        <v>44</v>
      </c>
      <c r="B53" s="35" t="str">
        <f>IF(DanhMucSP!$B47="","",DanhMucSP!$B47)</f>
        <v>KEOSUA</v>
      </c>
      <c r="C53" s="38" t="str">
        <f>IF(DanhMucSP!$D47="","",DanhMucSP!$C47)</f>
        <v>Keo sữa</v>
      </c>
      <c r="D53" s="36" t="str">
        <f>IF(DanhMucSP!$D47="","",DanhMucSP!$D47)</f>
        <v>Kg</v>
      </c>
      <c r="E53" s="36">
        <f>SUMIFS(Nhap!G:G,Nhap!D:D,Kho!B53)</f>
        <v>0</v>
      </c>
      <c r="F53" s="61">
        <f>SUMIFS(Nhap!H:H,Nhap!E:E,Kho!C53)</f>
        <v>0</v>
      </c>
      <c r="G53" s="66">
        <f t="shared" si="7"/>
        <v>0</v>
      </c>
      <c r="H53" s="15">
        <f>SUMIFS(Xuat!F:F,Xuat!D:D,Kho!C53)</f>
        <v>0</v>
      </c>
      <c r="I53" s="61">
        <f t="shared" si="8"/>
        <v>0</v>
      </c>
      <c r="J53" s="66">
        <f t="shared" si="9"/>
        <v>0</v>
      </c>
      <c r="K53" s="36">
        <f t="shared" si="3"/>
        <v>0</v>
      </c>
      <c r="L53" s="63">
        <f t="shared" si="10"/>
        <v>0</v>
      </c>
    </row>
    <row r="54" spans="1:12" x14ac:dyDescent="0.25">
      <c r="A54" s="13">
        <f t="shared" si="6"/>
        <v>45</v>
      </c>
      <c r="B54" s="35" t="str">
        <f>IF(DanhMucSP!$B48="","",DanhMucSP!$B48)</f>
        <v>SOCAY6X12</v>
      </c>
      <c r="C54" s="38" t="str">
        <f>IF(DanhMucSP!$D48="","",DanhMucSP!$C48)</f>
        <v>Sò cấy 6x12mm</v>
      </c>
      <c r="D54" s="36" t="str">
        <f>IF(DanhMucSP!$D48="","",DanhMucSP!$D48)</f>
        <v>Con</v>
      </c>
      <c r="E54" s="36">
        <f>SUMIFS(Nhap!G:G,Nhap!D:D,Kho!B54)</f>
        <v>0</v>
      </c>
      <c r="F54" s="61">
        <f>SUMIFS(Nhap!H:H,Nhap!E:E,Kho!C54)</f>
        <v>0</v>
      </c>
      <c r="G54" s="66">
        <f t="shared" si="7"/>
        <v>0</v>
      </c>
      <c r="H54" s="15">
        <f>SUMIFS(Xuat!F:F,Xuat!D:D,Kho!C54)</f>
        <v>0</v>
      </c>
      <c r="I54" s="61">
        <f t="shared" si="8"/>
        <v>0</v>
      </c>
      <c r="J54" s="66">
        <f t="shared" si="9"/>
        <v>0</v>
      </c>
      <c r="K54" s="36">
        <f t="shared" si="3"/>
        <v>0</v>
      </c>
      <c r="L54" s="63">
        <f t="shared" si="10"/>
        <v>0</v>
      </c>
    </row>
    <row r="55" spans="1:12" x14ac:dyDescent="0.25">
      <c r="A55" s="13">
        <f t="shared" si="6"/>
        <v>46</v>
      </c>
      <c r="B55" s="35" t="str">
        <f>IF(DanhMucSP!$B49="","",DanhMucSP!$B49)</f>
        <v>BULONGDEN6X30</v>
      </c>
      <c r="C55" s="38" t="str">
        <f>IF(DanhMucSP!$D49="","",DanhMucSP!$C49)</f>
        <v>Bulong đen 6x30mm</v>
      </c>
      <c r="D55" s="36" t="str">
        <f>IF(DanhMucSP!$D49="","",DanhMucSP!$D49)</f>
        <v>Con</v>
      </c>
      <c r="E55" s="36">
        <f>SUMIFS(Nhap!G:G,Nhap!D:D,Kho!B55)</f>
        <v>0</v>
      </c>
      <c r="F55" s="61">
        <f>SUMIFS(Nhap!H:H,Nhap!E:E,Kho!C55)</f>
        <v>0</v>
      </c>
      <c r="G55" s="66">
        <f t="shared" si="7"/>
        <v>0</v>
      </c>
      <c r="H55" s="15">
        <f>SUMIFS(Xuat!F:F,Xuat!D:D,Kho!C55)</f>
        <v>0</v>
      </c>
      <c r="I55" s="61">
        <f t="shared" si="8"/>
        <v>0</v>
      </c>
      <c r="J55" s="66">
        <f t="shared" si="9"/>
        <v>0</v>
      </c>
      <c r="K55" s="36">
        <f t="shared" si="3"/>
        <v>0</v>
      </c>
      <c r="L55" s="63">
        <f t="shared" si="10"/>
        <v>0</v>
      </c>
    </row>
    <row r="56" spans="1:12" x14ac:dyDescent="0.25">
      <c r="A56" s="13">
        <f t="shared" si="6"/>
        <v>47</v>
      </c>
      <c r="B56" s="35" t="str">
        <f>IF(DanhMucSP!$B50="","",DanhMucSP!$B50)</f>
        <v>BULONG7MAU6X60</v>
      </c>
      <c r="C56" s="38" t="str">
        <f>IF(DanhMucSP!$D50="","",DanhMucSP!$C50)</f>
        <v>Bulong 7 màu 6x60mm</v>
      </c>
      <c r="D56" s="36" t="str">
        <f>IF(DanhMucSP!$D50="","",DanhMucSP!$D50)</f>
        <v>Con</v>
      </c>
      <c r="E56" s="36">
        <f>SUMIFS(Nhap!G:G,Nhap!D:D,Kho!B56)</f>
        <v>0</v>
      </c>
      <c r="F56" s="61">
        <f>SUMIFS(Nhap!H:H,Nhap!E:E,Kho!C56)</f>
        <v>0</v>
      </c>
      <c r="G56" s="66">
        <f t="shared" si="7"/>
        <v>0</v>
      </c>
      <c r="H56" s="15">
        <f>SUMIFS(Xuat!F:F,Xuat!D:D,Kho!C56)</f>
        <v>0</v>
      </c>
      <c r="I56" s="61">
        <f t="shared" si="8"/>
        <v>0</v>
      </c>
      <c r="J56" s="66">
        <f t="shared" si="9"/>
        <v>0</v>
      </c>
      <c r="K56" s="36">
        <f t="shared" si="3"/>
        <v>0</v>
      </c>
      <c r="L56" s="63">
        <f t="shared" si="10"/>
        <v>0</v>
      </c>
    </row>
    <row r="57" spans="1:12" x14ac:dyDescent="0.25">
      <c r="A57" s="13">
        <f t="shared" si="6"/>
        <v>48</v>
      </c>
      <c r="B57" s="35" t="str">
        <f>IF(DanhMucSP!$B51="","",DanhMucSP!$B51)</f>
        <v>NHAMTRONVAI120</v>
      </c>
      <c r="C57" s="38" t="str">
        <f>IF(DanhMucSP!$D51="","",DanhMucSP!$C51)</f>
        <v>Nhám tròn 120</v>
      </c>
      <c r="D57" s="36" t="str">
        <f>IF(DanhMucSP!$D51="","",DanhMucSP!$D51)</f>
        <v>Tờ</v>
      </c>
      <c r="E57" s="36">
        <f>SUMIFS(Nhap!G:G,Nhap!D:D,Kho!B57)</f>
        <v>0</v>
      </c>
      <c r="F57" s="61">
        <f>SUMIFS(Nhap!H:H,Nhap!E:E,Kho!C57)</f>
        <v>0</v>
      </c>
      <c r="G57" s="66">
        <f t="shared" si="7"/>
        <v>0</v>
      </c>
      <c r="H57" s="15">
        <f>SUMIFS(Xuat!F:F,Xuat!D:D,Kho!C57)</f>
        <v>0</v>
      </c>
      <c r="I57" s="61">
        <f t="shared" si="8"/>
        <v>0</v>
      </c>
      <c r="J57" s="66">
        <f t="shared" si="9"/>
        <v>0</v>
      </c>
      <c r="K57" s="36">
        <f t="shared" si="3"/>
        <v>0</v>
      </c>
      <c r="L57" s="63">
        <f t="shared" si="10"/>
        <v>0</v>
      </c>
    </row>
    <row r="58" spans="1:12" x14ac:dyDescent="0.25">
      <c r="A58" s="13">
        <f t="shared" si="6"/>
        <v>49</v>
      </c>
      <c r="B58" s="35" t="str">
        <f>IF(DanhMucSP!$B52="","",DanhMucSP!$B52)</f>
        <v>CHOTGO10X40</v>
      </c>
      <c r="C58" s="38" t="str">
        <f>IF(DanhMucSP!$D52="","",DanhMucSP!$C52)</f>
        <v>Chốt gỗ 10x40mm</v>
      </c>
      <c r="D58" s="36" t="str">
        <f>IF(DanhMucSP!$D52="","",DanhMucSP!$D52)</f>
        <v>Tờ</v>
      </c>
      <c r="E58" s="36">
        <f>SUMIFS(Nhap!G:G,Nhap!D:D,Kho!B58)</f>
        <v>0</v>
      </c>
      <c r="F58" s="61">
        <f>SUMIFS(Nhap!H:H,Nhap!E:E,Kho!C58)</f>
        <v>0</v>
      </c>
      <c r="G58" s="66">
        <f t="shared" si="7"/>
        <v>0</v>
      </c>
      <c r="H58" s="15">
        <f>SUMIFS(Xuat!F:F,Xuat!D:D,Kho!C58)</f>
        <v>0</v>
      </c>
      <c r="I58" s="61">
        <f t="shared" si="8"/>
        <v>0</v>
      </c>
      <c r="J58" s="66">
        <f t="shared" si="9"/>
        <v>0</v>
      </c>
      <c r="K58" s="36">
        <f t="shared" si="3"/>
        <v>0</v>
      </c>
      <c r="L58" s="63">
        <f t="shared" si="10"/>
        <v>0</v>
      </c>
    </row>
    <row r="59" spans="1:12" x14ac:dyDescent="0.25">
      <c r="A59" s="1" t="str">
        <f>IF(B59&lt;&gt;"",#REF!+1,"")</f>
        <v/>
      </c>
    </row>
    <row r="60" spans="1:12" x14ac:dyDescent="0.25">
      <c r="A60" s="1" t="str">
        <f t="shared" ref="A60:A79" si="11">IF(B60&lt;&gt;"",A59+1,"")</f>
        <v/>
      </c>
    </row>
    <row r="61" spans="1:12" x14ac:dyDescent="0.25">
      <c r="A61" s="1" t="str">
        <f t="shared" si="11"/>
        <v/>
      </c>
    </row>
    <row r="62" spans="1:12" x14ac:dyDescent="0.25">
      <c r="A62" s="1" t="str">
        <f t="shared" si="11"/>
        <v/>
      </c>
    </row>
    <row r="63" spans="1:12" x14ac:dyDescent="0.25">
      <c r="A63" s="1" t="str">
        <f t="shared" si="11"/>
        <v/>
      </c>
    </row>
    <row r="64" spans="1:12" x14ac:dyDescent="0.25">
      <c r="A64" s="1" t="str">
        <f t="shared" si="11"/>
        <v/>
      </c>
    </row>
    <row r="65" spans="1:1" x14ac:dyDescent="0.25">
      <c r="A65" s="1" t="str">
        <f t="shared" si="11"/>
        <v/>
      </c>
    </row>
    <row r="66" spans="1:1" x14ac:dyDescent="0.25">
      <c r="A66" s="1" t="str">
        <f t="shared" si="11"/>
        <v/>
      </c>
    </row>
    <row r="67" spans="1:1" x14ac:dyDescent="0.25">
      <c r="A67" s="1" t="str">
        <f t="shared" si="11"/>
        <v/>
      </c>
    </row>
    <row r="68" spans="1:1" x14ac:dyDescent="0.25">
      <c r="A68" s="1" t="str">
        <f t="shared" si="11"/>
        <v/>
      </c>
    </row>
    <row r="69" spans="1:1" x14ac:dyDescent="0.25">
      <c r="A69" s="1" t="str">
        <f t="shared" si="11"/>
        <v/>
      </c>
    </row>
    <row r="70" spans="1:1" x14ac:dyDescent="0.25">
      <c r="A70" s="1" t="str">
        <f t="shared" si="11"/>
        <v/>
      </c>
    </row>
    <row r="71" spans="1:1" x14ac:dyDescent="0.25">
      <c r="A71" s="1" t="str">
        <f t="shared" si="11"/>
        <v/>
      </c>
    </row>
    <row r="72" spans="1:1" x14ac:dyDescent="0.25">
      <c r="A72" s="1" t="str">
        <f t="shared" si="11"/>
        <v/>
      </c>
    </row>
    <row r="73" spans="1:1" x14ac:dyDescent="0.25">
      <c r="A73" s="1" t="str">
        <f t="shared" si="11"/>
        <v/>
      </c>
    </row>
    <row r="74" spans="1:1" x14ac:dyDescent="0.25">
      <c r="A74" s="1" t="str">
        <f t="shared" si="11"/>
        <v/>
      </c>
    </row>
    <row r="75" spans="1:1" x14ac:dyDescent="0.25">
      <c r="A75" s="1" t="str">
        <f t="shared" si="11"/>
        <v/>
      </c>
    </row>
    <row r="76" spans="1:1" x14ac:dyDescent="0.25">
      <c r="A76" s="1" t="str">
        <f t="shared" si="11"/>
        <v/>
      </c>
    </row>
    <row r="77" spans="1:1" x14ac:dyDescent="0.25">
      <c r="A77" s="1" t="str">
        <f t="shared" si="11"/>
        <v/>
      </c>
    </row>
    <row r="78" spans="1:1" x14ac:dyDescent="0.25">
      <c r="A78" s="1" t="str">
        <f t="shared" si="11"/>
        <v/>
      </c>
    </row>
    <row r="79" spans="1:1" x14ac:dyDescent="0.25">
      <c r="A79" s="1" t="str">
        <f t="shared" si="11"/>
        <v/>
      </c>
    </row>
  </sheetData>
  <autoFilter ref="A9:L79" xr:uid="{00000000-0009-0000-0000-000003000000}"/>
  <conditionalFormatting sqref="H3">
    <cfRule type="colorScale" priority="3">
      <colorScale>
        <cfvo type="num" val="0"/>
        <cfvo type="percentile" val="50"/>
        <cfvo type="formula" val="$E$3"/>
        <color rgb="FFF8696B"/>
        <color rgb="FFFFEB84"/>
        <color rgb="FF63BE7B"/>
      </colorScale>
    </cfRule>
  </conditionalFormatting>
  <conditionalFormatting sqref="G3">
    <cfRule type="colorScale" priority="1">
      <colorScale>
        <cfvo type="num" val="0"/>
        <cfvo type="percentile" val="50"/>
        <cfvo type="formula" val="$E$3"/>
        <color rgb="FFF8696B"/>
        <color rgb="FFFFEB84"/>
        <color rgb="FF63BE7B"/>
      </colorScale>
    </cfRule>
  </conditionalFormatting>
  <pageMargins left="0.3" right="0.16" top="0.28999999999999998" bottom="0.24" header="0.18" footer="0.3"/>
  <pageSetup scale="9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300-000000000000}">
          <x14:formula1>
            <xm:f>DanhMucSP!$B$4:$B$200</xm:f>
          </x14:formula1>
          <xm:sqref>B3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2:R598"/>
  <sheetViews>
    <sheetView workbookViewId="0">
      <pane ySplit="6" topLeftCell="A7" activePane="bottomLeft" state="frozen"/>
      <selection pane="bottomLeft"/>
    </sheetView>
  </sheetViews>
  <sheetFormatPr defaultRowHeight="15" x14ac:dyDescent="0.25"/>
  <cols>
    <col min="1" max="1" width="17.28515625" style="2" customWidth="1"/>
    <col min="2" max="2" width="12.7109375" style="1" customWidth="1"/>
    <col min="3" max="3" width="13.5703125" style="1" customWidth="1"/>
    <col min="4" max="4" width="14.28515625" style="1" customWidth="1"/>
    <col min="5" max="5" width="10.7109375" style="1" customWidth="1"/>
    <col min="6" max="6" width="11.42578125" style="1" customWidth="1"/>
    <col min="7" max="7" width="11.5703125" style="115" customWidth="1"/>
    <col min="8" max="8" width="13.140625" style="115" customWidth="1"/>
    <col min="9" max="9" width="19.5703125" style="109" customWidth="1"/>
    <col min="10" max="10" width="17.42578125" customWidth="1"/>
    <col min="11" max="11" width="13.42578125" style="1" customWidth="1"/>
    <col min="12" max="12" width="14.5703125" customWidth="1"/>
    <col min="13" max="13" width="15.42578125" customWidth="1"/>
    <col min="14" max="14" width="12.7109375" customWidth="1"/>
    <col min="15" max="16" width="12.140625" customWidth="1"/>
    <col min="17" max="17" width="14" customWidth="1"/>
    <col min="18" max="18" width="18.7109375" customWidth="1"/>
  </cols>
  <sheetData>
    <row r="2" spans="1:18" ht="17.25" x14ac:dyDescent="0.25">
      <c r="A2" s="129" t="s">
        <v>23</v>
      </c>
    </row>
    <row r="4" spans="1:18" ht="21.75" customHeight="1" x14ac:dyDescent="0.3">
      <c r="B4" s="138" t="s">
        <v>22</v>
      </c>
      <c r="C4" s="138"/>
      <c r="D4" s="138"/>
      <c r="E4" s="138"/>
      <c r="F4" s="138"/>
      <c r="G4" s="138"/>
      <c r="H4" s="138"/>
      <c r="I4" s="138"/>
      <c r="J4" s="139" t="s">
        <v>24</v>
      </c>
      <c r="K4" s="139"/>
      <c r="L4" s="139"/>
      <c r="M4" s="139"/>
      <c r="N4" s="139"/>
      <c r="O4" s="139"/>
      <c r="P4" s="139"/>
      <c r="Q4" s="139"/>
      <c r="R4" s="139"/>
    </row>
    <row r="5" spans="1:18" ht="21" customHeight="1" x14ac:dyDescent="0.25">
      <c r="A5" s="89"/>
      <c r="B5" s="49"/>
      <c r="C5" s="50"/>
      <c r="D5" s="50"/>
      <c r="E5" s="50"/>
      <c r="F5" s="51"/>
      <c r="G5" s="116"/>
      <c r="H5" s="122"/>
      <c r="I5" s="110"/>
    </row>
    <row r="6" spans="1:18" ht="20.25" customHeight="1" x14ac:dyDescent="0.25">
      <c r="A6" s="101" t="s">
        <v>33</v>
      </c>
      <c r="B6" s="96" t="s">
        <v>4</v>
      </c>
      <c r="C6" s="97" t="s">
        <v>0</v>
      </c>
      <c r="D6" s="97" t="s">
        <v>1</v>
      </c>
      <c r="E6" s="97" t="s">
        <v>25</v>
      </c>
      <c r="F6" s="98" t="s">
        <v>2</v>
      </c>
      <c r="G6" s="99" t="s">
        <v>3</v>
      </c>
      <c r="H6" s="100" t="s">
        <v>11</v>
      </c>
      <c r="I6" s="97" t="s">
        <v>6</v>
      </c>
      <c r="J6" s="71" t="s">
        <v>33</v>
      </c>
      <c r="K6" s="71" t="s">
        <v>4</v>
      </c>
      <c r="L6" s="68" t="s">
        <v>0</v>
      </c>
      <c r="M6" s="68" t="s">
        <v>1</v>
      </c>
      <c r="N6" s="68" t="s">
        <v>25</v>
      </c>
      <c r="O6" s="68" t="s">
        <v>2</v>
      </c>
      <c r="P6" s="68" t="s">
        <v>3</v>
      </c>
      <c r="Q6" s="68" t="s">
        <v>11</v>
      </c>
      <c r="R6" s="68" t="s">
        <v>6</v>
      </c>
    </row>
    <row r="7" spans="1:18" ht="19.5" customHeight="1" x14ac:dyDescent="0.25">
      <c r="A7" s="102"/>
      <c r="B7" s="103"/>
      <c r="C7" s="104"/>
      <c r="D7" s="104"/>
      <c r="E7" s="105"/>
      <c r="F7" s="105"/>
      <c r="G7" s="117"/>
      <c r="H7" s="123"/>
      <c r="I7" s="108"/>
      <c r="J7" s="92"/>
      <c r="K7" s="107">
        <v>44348</v>
      </c>
      <c r="L7" s="69"/>
      <c r="M7" s="69"/>
      <c r="N7" s="69"/>
      <c r="O7" s="70"/>
      <c r="P7" s="70"/>
      <c r="Q7" s="67"/>
      <c r="R7" s="69"/>
    </row>
    <row r="8" spans="1:18" ht="19.5" customHeight="1" x14ac:dyDescent="0.25">
      <c r="A8" s="93"/>
      <c r="B8" s="94"/>
      <c r="C8" s="72"/>
      <c r="D8" s="72"/>
      <c r="E8" s="73"/>
      <c r="F8" s="73"/>
      <c r="G8" s="118"/>
      <c r="H8" s="124"/>
      <c r="I8" s="111"/>
    </row>
    <row r="9" spans="1:18" ht="19.5" customHeight="1" x14ac:dyDescent="0.25">
      <c r="A9" s="93"/>
      <c r="B9" s="94"/>
      <c r="C9" s="72"/>
      <c r="D9" s="72"/>
      <c r="E9" s="73"/>
      <c r="F9" s="73"/>
      <c r="G9" s="118"/>
      <c r="H9" s="124"/>
      <c r="I9" s="112"/>
    </row>
    <row r="10" spans="1:18" ht="19.5" customHeight="1" x14ac:dyDescent="0.25">
      <c r="A10" s="95"/>
      <c r="B10" s="126"/>
      <c r="C10" s="14"/>
      <c r="D10" s="14"/>
      <c r="E10" s="14"/>
      <c r="F10" s="128"/>
      <c r="G10" s="119"/>
      <c r="H10" s="125"/>
      <c r="I10" s="113"/>
    </row>
    <row r="11" spans="1:18" ht="19.5" customHeight="1" x14ac:dyDescent="0.25">
      <c r="A11" s="130"/>
      <c r="B11" s="14"/>
      <c r="C11" s="14"/>
      <c r="D11" s="14"/>
      <c r="E11" s="14"/>
      <c r="F11" s="14"/>
      <c r="G11" s="120"/>
      <c r="H11" s="120"/>
      <c r="I11" s="112"/>
    </row>
    <row r="12" spans="1:18" ht="19.5" customHeight="1" x14ac:dyDescent="0.25">
      <c r="A12" s="130"/>
      <c r="B12" s="14"/>
      <c r="C12" s="14"/>
      <c r="D12" s="14"/>
      <c r="E12" s="14"/>
      <c r="F12" s="14"/>
      <c r="G12" s="120"/>
      <c r="H12" s="120"/>
      <c r="I12" s="112"/>
    </row>
    <row r="13" spans="1:18" ht="19.5" customHeight="1" x14ac:dyDescent="0.25">
      <c r="A13" s="130"/>
      <c r="B13" s="14"/>
      <c r="C13" s="14"/>
      <c r="D13" s="14"/>
      <c r="E13" s="14"/>
      <c r="F13" s="14"/>
      <c r="G13" s="120"/>
      <c r="H13" s="120"/>
      <c r="I13" s="112"/>
      <c r="P13" s="106"/>
    </row>
    <row r="14" spans="1:18" ht="19.5" customHeight="1" x14ac:dyDescent="0.25">
      <c r="A14" s="130"/>
      <c r="B14" s="14"/>
      <c r="C14" s="14"/>
      <c r="D14" s="14"/>
      <c r="E14" s="14"/>
      <c r="F14" s="14"/>
      <c r="G14" s="120"/>
      <c r="H14" s="120"/>
      <c r="I14" s="112"/>
    </row>
    <row r="15" spans="1:18" ht="19.5" customHeight="1" x14ac:dyDescent="0.25">
      <c r="A15" s="130"/>
      <c r="B15" s="14"/>
      <c r="C15" s="14"/>
      <c r="D15" s="14"/>
      <c r="E15" s="14"/>
      <c r="F15" s="14"/>
      <c r="G15" s="120"/>
      <c r="H15" s="120"/>
      <c r="I15" s="112"/>
    </row>
    <row r="16" spans="1:18" ht="19.5" customHeight="1" x14ac:dyDescent="0.25">
      <c r="A16" s="130"/>
      <c r="B16" s="14"/>
      <c r="C16" s="14"/>
      <c r="D16" s="14"/>
      <c r="E16" s="14"/>
      <c r="F16" s="14"/>
      <c r="G16" s="120"/>
      <c r="H16" s="120"/>
      <c r="I16" s="112"/>
    </row>
    <row r="17" spans="1:9" ht="19.5" customHeight="1" x14ac:dyDescent="0.25">
      <c r="A17" s="130"/>
      <c r="B17" s="14"/>
      <c r="C17" s="14"/>
      <c r="D17" s="14"/>
      <c r="E17" s="14"/>
      <c r="F17" s="14"/>
      <c r="G17" s="120"/>
      <c r="H17" s="120"/>
      <c r="I17" s="112"/>
    </row>
    <row r="18" spans="1:9" ht="19.5" customHeight="1" x14ac:dyDescent="0.25">
      <c r="A18" s="130"/>
      <c r="B18" s="14"/>
      <c r="C18" s="14"/>
      <c r="D18" s="14"/>
      <c r="E18" s="14"/>
      <c r="F18" s="14"/>
      <c r="G18" s="120"/>
      <c r="H18" s="120"/>
      <c r="I18" s="112"/>
    </row>
    <row r="19" spans="1:9" ht="19.5" customHeight="1" x14ac:dyDescent="0.25">
      <c r="A19" s="130"/>
      <c r="B19" s="14"/>
      <c r="C19" s="14"/>
      <c r="D19" s="14"/>
      <c r="E19" s="14"/>
      <c r="F19" s="14"/>
      <c r="G19" s="120"/>
      <c r="H19" s="120"/>
      <c r="I19" s="112"/>
    </row>
    <row r="20" spans="1:9" ht="19.5" customHeight="1" x14ac:dyDescent="0.25">
      <c r="A20" s="130"/>
      <c r="B20" s="14"/>
      <c r="C20" s="14"/>
      <c r="D20" s="14"/>
      <c r="E20" s="14"/>
      <c r="F20" s="14"/>
      <c r="G20" s="120"/>
      <c r="H20" s="120"/>
      <c r="I20" s="112"/>
    </row>
    <row r="21" spans="1:9" ht="19.5" customHeight="1" x14ac:dyDescent="0.25">
      <c r="A21" s="130"/>
      <c r="B21" s="14"/>
      <c r="C21" s="14"/>
      <c r="D21" s="14"/>
      <c r="E21" s="14"/>
      <c r="F21" s="14"/>
      <c r="G21" s="120"/>
      <c r="H21" s="120"/>
      <c r="I21" s="112"/>
    </row>
    <row r="22" spans="1:9" ht="19.5" customHeight="1" x14ac:dyDescent="0.25">
      <c r="A22" s="130"/>
      <c r="B22" s="14"/>
      <c r="C22" s="14"/>
      <c r="D22" s="14"/>
      <c r="E22" s="14"/>
      <c r="F22" s="14"/>
      <c r="G22" s="120"/>
      <c r="H22" s="120"/>
      <c r="I22" s="112"/>
    </row>
    <row r="23" spans="1:9" ht="19.5" customHeight="1" x14ac:dyDescent="0.25">
      <c r="A23" s="130"/>
      <c r="B23" s="14"/>
      <c r="C23" s="14"/>
      <c r="D23" s="14"/>
      <c r="E23" s="14"/>
      <c r="F23" s="14"/>
      <c r="G23" s="120"/>
      <c r="H23" s="120"/>
      <c r="I23" s="112"/>
    </row>
    <row r="24" spans="1:9" ht="19.5" customHeight="1" x14ac:dyDescent="0.25">
      <c r="A24" s="130"/>
      <c r="B24" s="14"/>
      <c r="C24" s="14"/>
      <c r="D24" s="14"/>
      <c r="E24" s="14"/>
      <c r="F24" s="14"/>
      <c r="G24" s="120"/>
      <c r="H24" s="120"/>
      <c r="I24" s="112"/>
    </row>
    <row r="25" spans="1:9" ht="19.5" customHeight="1" x14ac:dyDescent="0.25">
      <c r="A25" s="130"/>
      <c r="B25" s="14"/>
      <c r="C25" s="14"/>
      <c r="D25" s="14"/>
      <c r="E25" s="14"/>
      <c r="F25" s="14"/>
      <c r="G25" s="120"/>
      <c r="H25" s="120"/>
      <c r="I25" s="112"/>
    </row>
    <row r="26" spans="1:9" ht="19.5" customHeight="1" x14ac:dyDescent="0.25">
      <c r="A26" s="130"/>
      <c r="B26" s="14"/>
      <c r="C26" s="14"/>
      <c r="D26" s="14"/>
      <c r="E26" s="14"/>
      <c r="F26" s="14"/>
      <c r="G26" s="120"/>
      <c r="H26" s="120"/>
      <c r="I26" s="112"/>
    </row>
    <row r="27" spans="1:9" ht="19.5" customHeight="1" x14ac:dyDescent="0.25">
      <c r="A27" s="130"/>
      <c r="B27" s="14"/>
      <c r="C27" s="14"/>
      <c r="D27" s="14"/>
      <c r="E27" s="14"/>
      <c r="F27" s="14"/>
      <c r="G27" s="120"/>
      <c r="H27" s="120"/>
      <c r="I27" s="112"/>
    </row>
    <row r="28" spans="1:9" ht="19.5" customHeight="1" x14ac:dyDescent="0.25">
      <c r="A28" s="130"/>
      <c r="B28" s="14"/>
      <c r="C28" s="14"/>
      <c r="D28" s="14"/>
      <c r="E28" s="14"/>
      <c r="F28" s="14"/>
      <c r="G28" s="120"/>
      <c r="H28" s="120"/>
      <c r="I28" s="112"/>
    </row>
    <row r="29" spans="1:9" ht="19.5" customHeight="1" x14ac:dyDescent="0.25">
      <c r="A29" s="130"/>
      <c r="B29" s="14"/>
      <c r="C29" s="14"/>
      <c r="D29" s="14"/>
      <c r="E29" s="14"/>
      <c r="F29" s="14"/>
      <c r="G29" s="120"/>
      <c r="H29" s="120"/>
      <c r="I29" s="112"/>
    </row>
    <row r="30" spans="1:9" ht="19.5" customHeight="1" x14ac:dyDescent="0.25">
      <c r="A30" s="130"/>
      <c r="B30" s="14"/>
      <c r="C30" s="14"/>
      <c r="D30" s="14"/>
      <c r="E30" s="14"/>
      <c r="F30" s="14"/>
      <c r="G30" s="120"/>
      <c r="H30" s="120"/>
      <c r="I30" s="112"/>
    </row>
    <row r="31" spans="1:9" ht="19.5" customHeight="1" x14ac:dyDescent="0.25">
      <c r="A31" s="130"/>
      <c r="B31" s="14"/>
      <c r="C31" s="14"/>
      <c r="D31" s="14"/>
      <c r="E31" s="14"/>
      <c r="F31" s="14"/>
      <c r="G31" s="120"/>
      <c r="H31" s="120"/>
      <c r="I31" s="112"/>
    </row>
    <row r="32" spans="1:9" ht="19.5" customHeight="1" x14ac:dyDescent="0.25">
      <c r="A32" s="130"/>
      <c r="B32" s="14"/>
      <c r="C32" s="14"/>
      <c r="D32" s="14"/>
      <c r="E32" s="14"/>
      <c r="F32" s="14"/>
      <c r="G32" s="120"/>
      <c r="H32" s="120"/>
      <c r="I32" s="112"/>
    </row>
    <row r="33" spans="1:9" ht="19.5" customHeight="1" x14ac:dyDescent="0.25">
      <c r="A33" s="130"/>
      <c r="B33" s="14"/>
      <c r="C33" s="14"/>
      <c r="D33" s="14"/>
      <c r="E33" s="14"/>
      <c r="F33" s="14"/>
      <c r="G33" s="120"/>
      <c r="H33" s="120"/>
      <c r="I33" s="112"/>
    </row>
    <row r="34" spans="1:9" ht="19.5" customHeight="1" x14ac:dyDescent="0.25">
      <c r="A34" s="130"/>
      <c r="B34" s="14"/>
      <c r="C34" s="14"/>
      <c r="D34" s="14"/>
      <c r="E34" s="14"/>
      <c r="F34" s="14"/>
      <c r="G34" s="120"/>
      <c r="H34" s="120"/>
      <c r="I34" s="112"/>
    </row>
    <row r="35" spans="1:9" ht="19.5" customHeight="1" x14ac:dyDescent="0.25">
      <c r="A35" s="130"/>
      <c r="B35" s="14"/>
      <c r="C35" s="14"/>
      <c r="D35" s="14"/>
      <c r="E35" s="14"/>
      <c r="F35" s="14"/>
      <c r="G35" s="120"/>
      <c r="H35" s="120"/>
      <c r="I35" s="112"/>
    </row>
    <row r="36" spans="1:9" ht="19.5" customHeight="1" x14ac:dyDescent="0.25">
      <c r="A36" s="130"/>
      <c r="B36" s="14"/>
      <c r="C36" s="14"/>
      <c r="D36" s="14"/>
      <c r="E36" s="14"/>
      <c r="F36" s="14"/>
      <c r="G36" s="120"/>
      <c r="H36" s="120"/>
      <c r="I36" s="112"/>
    </row>
    <row r="37" spans="1:9" ht="19.5" customHeight="1" x14ac:dyDescent="0.25">
      <c r="A37" s="130"/>
      <c r="B37" s="14"/>
      <c r="C37" s="14"/>
      <c r="D37" s="14"/>
      <c r="E37" s="14"/>
      <c r="F37" s="14"/>
      <c r="G37" s="120"/>
      <c r="H37" s="120"/>
      <c r="I37" s="112"/>
    </row>
    <row r="38" spans="1:9" ht="19.5" customHeight="1" x14ac:dyDescent="0.25">
      <c r="A38" s="130"/>
      <c r="B38" s="14"/>
      <c r="C38" s="14"/>
      <c r="D38" s="14"/>
      <c r="E38" s="14"/>
      <c r="F38" s="14"/>
      <c r="G38" s="120"/>
      <c r="H38" s="120"/>
      <c r="I38" s="112"/>
    </row>
    <row r="39" spans="1:9" ht="19.5" customHeight="1" x14ac:dyDescent="0.25">
      <c r="A39" s="130"/>
      <c r="B39" s="14"/>
      <c r="C39" s="14"/>
      <c r="D39" s="14"/>
      <c r="E39" s="14"/>
      <c r="F39" s="14"/>
      <c r="G39" s="120"/>
      <c r="H39" s="120"/>
      <c r="I39" s="112"/>
    </row>
    <row r="40" spans="1:9" ht="19.5" customHeight="1" x14ac:dyDescent="0.25">
      <c r="A40" s="130"/>
      <c r="B40" s="14"/>
      <c r="C40" s="14"/>
      <c r="D40" s="14"/>
      <c r="E40" s="14"/>
      <c r="F40" s="14"/>
      <c r="G40" s="120"/>
      <c r="H40" s="120"/>
      <c r="I40" s="112"/>
    </row>
    <row r="41" spans="1:9" ht="19.5" customHeight="1" x14ac:dyDescent="0.25">
      <c r="A41" s="130"/>
      <c r="B41" s="14"/>
      <c r="C41" s="14"/>
      <c r="D41" s="14"/>
      <c r="E41" s="14"/>
      <c r="F41" s="14"/>
      <c r="G41" s="120"/>
      <c r="H41" s="120"/>
      <c r="I41" s="112"/>
    </row>
    <row r="42" spans="1:9" ht="19.5" customHeight="1" x14ac:dyDescent="0.25">
      <c r="A42" s="130"/>
      <c r="B42" s="14"/>
      <c r="C42" s="14"/>
      <c r="D42" s="14"/>
      <c r="E42" s="14"/>
      <c r="F42" s="14"/>
      <c r="G42" s="120"/>
      <c r="H42" s="120"/>
      <c r="I42" s="112"/>
    </row>
    <row r="43" spans="1:9" ht="19.5" customHeight="1" x14ac:dyDescent="0.25">
      <c r="A43" s="130"/>
      <c r="B43" s="14"/>
      <c r="C43" s="14"/>
      <c r="D43" s="14"/>
      <c r="E43" s="14"/>
      <c r="F43" s="14"/>
      <c r="G43" s="120"/>
      <c r="H43" s="120"/>
      <c r="I43" s="112"/>
    </row>
    <row r="44" spans="1:9" ht="19.5" customHeight="1" x14ac:dyDescent="0.25">
      <c r="A44" s="130"/>
      <c r="B44" s="14"/>
      <c r="C44" s="14"/>
      <c r="D44" s="14"/>
      <c r="E44" s="14"/>
      <c r="F44" s="14"/>
      <c r="G44" s="120"/>
      <c r="H44" s="120"/>
      <c r="I44" s="112"/>
    </row>
    <row r="45" spans="1:9" ht="19.5" customHeight="1" x14ac:dyDescent="0.25">
      <c r="A45" s="130"/>
      <c r="B45" s="14"/>
      <c r="C45" s="14"/>
      <c r="D45" s="14"/>
      <c r="E45" s="14"/>
      <c r="F45" s="14"/>
      <c r="G45" s="120"/>
      <c r="H45" s="120"/>
      <c r="I45" s="112"/>
    </row>
    <row r="46" spans="1:9" ht="19.5" customHeight="1" x14ac:dyDescent="0.25">
      <c r="A46" s="130"/>
      <c r="B46" s="14"/>
      <c r="C46" s="14"/>
      <c r="D46" s="14"/>
      <c r="E46" s="14"/>
      <c r="F46" s="14"/>
      <c r="G46" s="120"/>
      <c r="H46" s="120"/>
      <c r="I46" s="112"/>
    </row>
    <row r="47" spans="1:9" ht="19.5" customHeight="1" x14ac:dyDescent="0.25">
      <c r="A47" s="130"/>
      <c r="B47" s="14"/>
      <c r="C47" s="14"/>
      <c r="D47" s="14"/>
      <c r="E47" s="14"/>
      <c r="F47" s="14"/>
      <c r="G47" s="120"/>
      <c r="H47" s="120"/>
      <c r="I47" s="112"/>
    </row>
    <row r="48" spans="1:9" ht="19.5" customHeight="1" x14ac:dyDescent="0.25">
      <c r="A48" s="130"/>
      <c r="B48" s="14"/>
      <c r="C48" s="14"/>
      <c r="D48" s="14"/>
      <c r="E48" s="14"/>
      <c r="F48" s="14"/>
      <c r="G48" s="120"/>
      <c r="H48" s="120"/>
      <c r="I48" s="112"/>
    </row>
    <row r="49" spans="1:9" ht="19.5" customHeight="1" x14ac:dyDescent="0.25">
      <c r="A49" s="130"/>
      <c r="B49" s="14"/>
      <c r="C49" s="14"/>
      <c r="D49" s="14"/>
      <c r="E49" s="14"/>
      <c r="F49" s="14"/>
      <c r="G49" s="120"/>
      <c r="H49" s="120"/>
      <c r="I49" s="112"/>
    </row>
    <row r="50" spans="1:9" ht="19.5" customHeight="1" x14ac:dyDescent="0.25">
      <c r="A50" s="130"/>
      <c r="B50" s="14"/>
      <c r="C50" s="14"/>
      <c r="D50" s="14"/>
      <c r="E50" s="14"/>
      <c r="F50" s="14"/>
      <c r="G50" s="120"/>
      <c r="H50" s="120"/>
      <c r="I50" s="112"/>
    </row>
    <row r="51" spans="1:9" ht="19.5" customHeight="1" x14ac:dyDescent="0.25">
      <c r="A51" s="130"/>
      <c r="B51" s="14"/>
      <c r="C51" s="14"/>
      <c r="D51" s="14"/>
      <c r="E51" s="14"/>
      <c r="F51" s="14"/>
      <c r="G51" s="120"/>
      <c r="H51" s="120"/>
      <c r="I51" s="112"/>
    </row>
    <row r="52" spans="1:9" ht="19.5" customHeight="1" x14ac:dyDescent="0.25">
      <c r="A52" s="130"/>
      <c r="B52" s="14"/>
      <c r="C52" s="14"/>
      <c r="D52" s="14"/>
      <c r="E52" s="14"/>
      <c r="F52" s="14"/>
      <c r="G52" s="120"/>
      <c r="H52" s="120"/>
      <c r="I52" s="112"/>
    </row>
    <row r="53" spans="1:9" ht="19.5" customHeight="1" x14ac:dyDescent="0.25">
      <c r="A53" s="130"/>
      <c r="B53" s="14"/>
      <c r="C53" s="14"/>
      <c r="D53" s="14"/>
      <c r="E53" s="14"/>
      <c r="F53" s="14"/>
      <c r="G53" s="120"/>
      <c r="H53" s="120"/>
      <c r="I53" s="112"/>
    </row>
    <row r="54" spans="1:9" ht="19.5" customHeight="1" x14ac:dyDescent="0.25">
      <c r="A54" s="130"/>
      <c r="B54" s="14"/>
      <c r="C54" s="14"/>
      <c r="D54" s="14"/>
      <c r="E54" s="14"/>
      <c r="F54" s="14"/>
      <c r="G54" s="120"/>
      <c r="H54" s="120"/>
      <c r="I54" s="112"/>
    </row>
    <row r="55" spans="1:9" ht="19.5" customHeight="1" x14ac:dyDescent="0.25">
      <c r="A55" s="130"/>
      <c r="B55" s="14"/>
      <c r="C55" s="14"/>
      <c r="D55" s="14"/>
      <c r="E55" s="14"/>
      <c r="F55" s="14"/>
      <c r="G55" s="120"/>
      <c r="H55" s="120"/>
      <c r="I55" s="112"/>
    </row>
    <row r="56" spans="1:9" ht="19.5" customHeight="1" x14ac:dyDescent="0.25">
      <c r="A56" s="130"/>
      <c r="B56" s="14"/>
      <c r="C56" s="14"/>
      <c r="D56" s="14"/>
      <c r="E56" s="14"/>
      <c r="F56" s="14"/>
      <c r="G56" s="120"/>
      <c r="H56" s="120"/>
      <c r="I56" s="112"/>
    </row>
    <row r="57" spans="1:9" ht="19.5" customHeight="1" x14ac:dyDescent="0.25">
      <c r="A57" s="130"/>
      <c r="B57" s="14"/>
      <c r="C57" s="14"/>
      <c r="D57" s="14"/>
      <c r="E57" s="14"/>
      <c r="F57" s="14"/>
      <c r="G57" s="120"/>
      <c r="H57" s="120"/>
      <c r="I57" s="112"/>
    </row>
    <row r="58" spans="1:9" ht="19.5" customHeight="1" x14ac:dyDescent="0.25">
      <c r="A58" s="130"/>
      <c r="B58" s="14"/>
      <c r="C58" s="14"/>
      <c r="D58" s="14"/>
      <c r="E58" s="14"/>
      <c r="F58" s="14"/>
      <c r="G58" s="120"/>
      <c r="H58" s="120"/>
      <c r="I58" s="112"/>
    </row>
    <row r="59" spans="1:9" ht="19.5" customHeight="1" x14ac:dyDescent="0.25">
      <c r="A59" s="130"/>
      <c r="B59" s="14"/>
      <c r="C59" s="14"/>
      <c r="D59" s="14"/>
      <c r="E59" s="14"/>
      <c r="F59" s="14"/>
      <c r="G59" s="120"/>
      <c r="H59" s="120"/>
      <c r="I59" s="112"/>
    </row>
    <row r="60" spans="1:9" ht="19.5" customHeight="1" x14ac:dyDescent="0.25">
      <c r="A60" s="130"/>
      <c r="B60" s="14"/>
      <c r="C60" s="14"/>
      <c r="D60" s="14"/>
      <c r="E60" s="14"/>
      <c r="F60" s="14"/>
      <c r="G60" s="120"/>
      <c r="H60" s="120"/>
      <c r="I60" s="112"/>
    </row>
    <row r="61" spans="1:9" ht="19.5" customHeight="1" x14ac:dyDescent="0.25">
      <c r="A61" s="130"/>
      <c r="B61" s="14"/>
      <c r="C61" s="14"/>
      <c r="D61" s="14"/>
      <c r="E61" s="14"/>
      <c r="F61" s="14"/>
      <c r="G61" s="120"/>
      <c r="H61" s="120"/>
      <c r="I61" s="112"/>
    </row>
    <row r="62" spans="1:9" ht="19.5" customHeight="1" x14ac:dyDescent="0.25">
      <c r="A62" s="130"/>
      <c r="B62" s="14"/>
      <c r="C62" s="14"/>
      <c r="D62" s="14"/>
      <c r="E62" s="14"/>
      <c r="F62" s="14"/>
      <c r="G62" s="120"/>
      <c r="H62" s="120"/>
      <c r="I62" s="112"/>
    </row>
    <row r="63" spans="1:9" ht="19.5" customHeight="1" x14ac:dyDescent="0.25">
      <c r="A63" s="130"/>
      <c r="B63" s="14"/>
      <c r="C63" s="14"/>
      <c r="D63" s="14"/>
      <c r="E63" s="14"/>
      <c r="F63" s="14"/>
      <c r="G63" s="120"/>
      <c r="H63" s="120"/>
      <c r="I63" s="112"/>
    </row>
    <row r="64" spans="1:9" ht="19.5" customHeight="1" x14ac:dyDescent="0.25">
      <c r="A64" s="130"/>
      <c r="B64" s="14"/>
      <c r="C64" s="14"/>
      <c r="D64" s="14"/>
      <c r="E64" s="14"/>
      <c r="F64" s="14"/>
      <c r="G64" s="120"/>
      <c r="H64" s="120"/>
      <c r="I64" s="112"/>
    </row>
    <row r="65" spans="1:9" ht="19.5" customHeight="1" x14ac:dyDescent="0.25">
      <c r="A65" s="130"/>
      <c r="B65" s="14"/>
      <c r="C65" s="14"/>
      <c r="D65" s="14"/>
      <c r="E65" s="14"/>
      <c r="F65" s="14"/>
      <c r="G65" s="120"/>
      <c r="H65" s="120"/>
      <c r="I65" s="112"/>
    </row>
    <row r="66" spans="1:9" ht="19.5" customHeight="1" x14ac:dyDescent="0.25">
      <c r="A66" s="130"/>
      <c r="B66" s="14"/>
      <c r="C66" s="14"/>
      <c r="D66" s="14"/>
      <c r="E66" s="14"/>
      <c r="F66" s="14"/>
      <c r="G66" s="120"/>
      <c r="H66" s="120"/>
      <c r="I66" s="112"/>
    </row>
    <row r="67" spans="1:9" ht="19.5" customHeight="1" x14ac:dyDescent="0.25">
      <c r="A67" s="130"/>
      <c r="B67" s="14"/>
      <c r="C67" s="14"/>
      <c r="D67" s="14"/>
      <c r="E67" s="14"/>
      <c r="F67" s="14"/>
      <c r="G67" s="120"/>
      <c r="H67" s="120"/>
      <c r="I67" s="112"/>
    </row>
    <row r="68" spans="1:9" ht="19.5" customHeight="1" x14ac:dyDescent="0.25">
      <c r="A68" s="130"/>
      <c r="B68" s="14"/>
      <c r="C68" s="14"/>
      <c r="D68" s="14"/>
      <c r="E68" s="14"/>
      <c r="F68" s="14"/>
      <c r="G68" s="120"/>
      <c r="H68" s="120"/>
      <c r="I68" s="112"/>
    </row>
    <row r="69" spans="1:9" ht="19.5" customHeight="1" x14ac:dyDescent="0.25">
      <c r="A69" s="130"/>
      <c r="B69" s="14"/>
      <c r="C69" s="14"/>
      <c r="D69" s="14"/>
      <c r="E69" s="14"/>
      <c r="F69" s="14"/>
      <c r="G69" s="120"/>
      <c r="H69" s="120"/>
      <c r="I69" s="112"/>
    </row>
    <row r="70" spans="1:9" ht="19.5" customHeight="1" x14ac:dyDescent="0.25">
      <c r="A70" s="130"/>
      <c r="B70" s="14"/>
      <c r="C70" s="14"/>
      <c r="D70" s="14"/>
      <c r="E70" s="14"/>
      <c r="F70" s="14"/>
      <c r="G70" s="120"/>
      <c r="H70" s="120"/>
      <c r="I70" s="112"/>
    </row>
    <row r="71" spans="1:9" ht="19.5" customHeight="1" x14ac:dyDescent="0.25">
      <c r="A71" s="130"/>
      <c r="B71" s="14"/>
      <c r="C71" s="14"/>
      <c r="D71" s="14"/>
      <c r="E71" s="14"/>
      <c r="F71" s="14"/>
      <c r="G71" s="120"/>
      <c r="H71" s="120"/>
      <c r="I71" s="112"/>
    </row>
    <row r="72" spans="1:9" ht="19.5" customHeight="1" x14ac:dyDescent="0.25">
      <c r="A72" s="130"/>
      <c r="B72" s="14"/>
      <c r="C72" s="14"/>
      <c r="D72" s="14"/>
      <c r="E72" s="14"/>
      <c r="F72" s="14"/>
      <c r="G72" s="120"/>
      <c r="H72" s="120"/>
      <c r="I72" s="112"/>
    </row>
    <row r="73" spans="1:9" ht="19.5" customHeight="1" x14ac:dyDescent="0.25">
      <c r="A73" s="130"/>
      <c r="B73" s="14"/>
      <c r="C73" s="14"/>
      <c r="D73" s="14"/>
      <c r="E73" s="14"/>
      <c r="F73" s="14"/>
      <c r="G73" s="120"/>
      <c r="H73" s="120"/>
      <c r="I73" s="112"/>
    </row>
    <row r="74" spans="1:9" ht="19.5" customHeight="1" x14ac:dyDescent="0.25">
      <c r="A74" s="130"/>
      <c r="B74" s="14"/>
      <c r="C74" s="14"/>
      <c r="D74" s="14"/>
      <c r="E74" s="14"/>
      <c r="F74" s="14"/>
      <c r="G74" s="120"/>
      <c r="H74" s="120"/>
      <c r="I74" s="112"/>
    </row>
    <row r="75" spans="1:9" ht="19.5" customHeight="1" x14ac:dyDescent="0.25">
      <c r="A75" s="130"/>
      <c r="B75" s="14"/>
      <c r="C75" s="14"/>
      <c r="D75" s="14"/>
      <c r="E75" s="14"/>
      <c r="F75" s="14"/>
      <c r="G75" s="120"/>
      <c r="H75" s="120"/>
      <c r="I75" s="112"/>
    </row>
    <row r="76" spans="1:9" ht="19.5" customHeight="1" x14ac:dyDescent="0.25">
      <c r="A76" s="130"/>
      <c r="B76" s="14"/>
      <c r="C76" s="14"/>
      <c r="D76" s="14"/>
      <c r="E76" s="14"/>
      <c r="F76" s="14"/>
      <c r="G76" s="120"/>
      <c r="H76" s="120"/>
      <c r="I76" s="112"/>
    </row>
    <row r="77" spans="1:9" ht="19.5" customHeight="1" x14ac:dyDescent="0.25">
      <c r="A77" s="130"/>
      <c r="B77" s="14"/>
      <c r="C77" s="14"/>
      <c r="D77" s="14"/>
      <c r="E77" s="14"/>
      <c r="F77" s="14"/>
      <c r="G77" s="120"/>
      <c r="H77" s="120"/>
      <c r="I77" s="112"/>
    </row>
    <row r="78" spans="1:9" ht="19.5" customHeight="1" x14ac:dyDescent="0.25">
      <c r="A78" s="130"/>
      <c r="B78" s="14"/>
      <c r="C78" s="14"/>
      <c r="D78" s="14"/>
      <c r="E78" s="14"/>
      <c r="F78" s="14"/>
      <c r="G78" s="120"/>
      <c r="H78" s="120"/>
      <c r="I78" s="112"/>
    </row>
    <row r="79" spans="1:9" ht="19.5" customHeight="1" x14ac:dyDescent="0.25">
      <c r="A79" s="130"/>
      <c r="B79" s="14"/>
      <c r="C79" s="14"/>
      <c r="D79" s="14"/>
      <c r="E79" s="14"/>
      <c r="F79" s="14"/>
      <c r="G79" s="120"/>
      <c r="H79" s="120"/>
      <c r="I79" s="112"/>
    </row>
    <row r="80" spans="1:9" ht="19.5" customHeight="1" x14ac:dyDescent="0.25">
      <c r="A80" s="130"/>
      <c r="B80" s="14"/>
      <c r="C80" s="14"/>
      <c r="D80" s="14"/>
      <c r="E80" s="14"/>
      <c r="F80" s="14"/>
      <c r="G80" s="120"/>
      <c r="H80" s="120"/>
      <c r="I80" s="112"/>
    </row>
    <row r="81" spans="1:9" ht="19.5" customHeight="1" x14ac:dyDescent="0.25">
      <c r="A81" s="130"/>
      <c r="B81" s="14"/>
      <c r="C81" s="14"/>
      <c r="D81" s="14"/>
      <c r="E81" s="14"/>
      <c r="F81" s="14"/>
      <c r="G81" s="120"/>
      <c r="H81" s="120"/>
      <c r="I81" s="112"/>
    </row>
    <row r="82" spans="1:9" ht="19.5" customHeight="1" x14ac:dyDescent="0.25">
      <c r="A82" s="130"/>
      <c r="B82" s="14"/>
      <c r="C82" s="14"/>
      <c r="D82" s="14"/>
      <c r="E82" s="14"/>
      <c r="F82" s="14"/>
      <c r="G82" s="120"/>
      <c r="H82" s="120"/>
      <c r="I82" s="112"/>
    </row>
    <row r="83" spans="1:9" ht="19.5" customHeight="1" x14ac:dyDescent="0.25">
      <c r="A83" s="130"/>
      <c r="B83" s="14"/>
      <c r="C83" s="14"/>
      <c r="D83" s="14"/>
      <c r="E83" s="14"/>
      <c r="F83" s="14"/>
      <c r="G83" s="120"/>
      <c r="H83" s="120"/>
      <c r="I83" s="112"/>
    </row>
    <row r="84" spans="1:9" ht="19.5" customHeight="1" x14ac:dyDescent="0.25">
      <c r="A84" s="130"/>
      <c r="B84" s="14"/>
      <c r="C84" s="14"/>
      <c r="D84" s="14"/>
      <c r="E84" s="14"/>
      <c r="F84" s="14"/>
      <c r="G84" s="120"/>
      <c r="H84" s="120"/>
      <c r="I84" s="112"/>
    </row>
    <row r="85" spans="1:9" ht="19.5" customHeight="1" x14ac:dyDescent="0.25">
      <c r="A85" s="130"/>
      <c r="B85" s="14"/>
      <c r="C85" s="14"/>
      <c r="D85" s="14"/>
      <c r="E85" s="14"/>
      <c r="F85" s="14"/>
      <c r="G85" s="120"/>
      <c r="H85" s="120"/>
      <c r="I85" s="112"/>
    </row>
    <row r="86" spans="1:9" ht="19.5" customHeight="1" x14ac:dyDescent="0.25">
      <c r="A86" s="130"/>
      <c r="B86" s="14"/>
      <c r="C86" s="14"/>
      <c r="D86" s="14"/>
      <c r="E86" s="14"/>
      <c r="F86" s="14"/>
      <c r="G86" s="120"/>
      <c r="H86" s="120"/>
      <c r="I86" s="112"/>
    </row>
    <row r="87" spans="1:9" ht="19.5" customHeight="1" x14ac:dyDescent="0.25">
      <c r="A87" s="130"/>
      <c r="B87" s="14"/>
      <c r="C87" s="14"/>
      <c r="D87" s="14"/>
      <c r="E87" s="14"/>
      <c r="F87" s="14"/>
      <c r="G87" s="120"/>
      <c r="H87" s="120"/>
      <c r="I87" s="112"/>
    </row>
    <row r="88" spans="1:9" ht="19.5" customHeight="1" x14ac:dyDescent="0.25">
      <c r="A88" s="130"/>
      <c r="B88" s="14"/>
      <c r="C88" s="14"/>
      <c r="D88" s="14"/>
      <c r="E88" s="14"/>
      <c r="F88" s="14"/>
      <c r="G88" s="120"/>
      <c r="H88" s="120"/>
      <c r="I88" s="112"/>
    </row>
    <row r="89" spans="1:9" ht="19.5" customHeight="1" x14ac:dyDescent="0.25">
      <c r="A89" s="130"/>
      <c r="B89" s="14"/>
      <c r="C89" s="14"/>
      <c r="D89" s="14"/>
      <c r="E89" s="14"/>
      <c r="F89" s="14"/>
      <c r="G89" s="120"/>
      <c r="H89" s="120"/>
      <c r="I89" s="112"/>
    </row>
    <row r="90" spans="1:9" ht="19.5" customHeight="1" x14ac:dyDescent="0.25">
      <c r="A90" s="130"/>
      <c r="B90" s="14"/>
      <c r="C90" s="14"/>
      <c r="D90" s="14"/>
      <c r="E90" s="14"/>
      <c r="F90" s="14"/>
      <c r="G90" s="120"/>
      <c r="H90" s="120"/>
      <c r="I90" s="112"/>
    </row>
    <row r="91" spans="1:9" ht="19.5" customHeight="1" x14ac:dyDescent="0.25">
      <c r="A91" s="130"/>
      <c r="B91" s="14"/>
      <c r="C91" s="14"/>
      <c r="D91" s="14"/>
      <c r="E91" s="14"/>
      <c r="F91" s="14"/>
      <c r="G91" s="120"/>
      <c r="H91" s="120"/>
      <c r="I91" s="112"/>
    </row>
    <row r="92" spans="1:9" ht="19.5" customHeight="1" x14ac:dyDescent="0.25">
      <c r="A92" s="130"/>
      <c r="B92" s="14"/>
      <c r="C92" s="14"/>
      <c r="D92" s="14"/>
      <c r="E92" s="14"/>
      <c r="F92" s="14"/>
      <c r="G92" s="120"/>
      <c r="H92" s="120"/>
      <c r="I92" s="112"/>
    </row>
    <row r="93" spans="1:9" ht="19.5" customHeight="1" x14ac:dyDescent="0.25">
      <c r="A93" s="130"/>
      <c r="B93" s="14"/>
      <c r="C93" s="14"/>
      <c r="D93" s="14"/>
      <c r="E93" s="14"/>
      <c r="F93" s="14"/>
      <c r="G93" s="120"/>
      <c r="H93" s="120"/>
      <c r="I93" s="112"/>
    </row>
    <row r="94" spans="1:9" ht="19.5" customHeight="1" x14ac:dyDescent="0.25">
      <c r="A94" s="130"/>
      <c r="B94" s="14"/>
      <c r="C94" s="14"/>
      <c r="D94" s="14"/>
      <c r="E94" s="14"/>
      <c r="F94" s="14"/>
      <c r="G94" s="120"/>
      <c r="H94" s="120"/>
      <c r="I94" s="112"/>
    </row>
    <row r="95" spans="1:9" ht="19.5" customHeight="1" x14ac:dyDescent="0.25">
      <c r="A95" s="130"/>
      <c r="B95" s="14"/>
      <c r="C95" s="14"/>
      <c r="D95" s="14"/>
      <c r="E95" s="14"/>
      <c r="F95" s="14"/>
      <c r="G95" s="120"/>
      <c r="H95" s="120"/>
      <c r="I95" s="112"/>
    </row>
    <row r="96" spans="1:9" ht="19.5" customHeight="1" x14ac:dyDescent="0.25">
      <c r="A96" s="130"/>
      <c r="B96" s="14"/>
      <c r="C96" s="14"/>
      <c r="D96" s="14"/>
      <c r="E96" s="14"/>
      <c r="F96" s="14"/>
      <c r="G96" s="120"/>
      <c r="H96" s="120"/>
      <c r="I96" s="112"/>
    </row>
    <row r="97" spans="1:9" ht="19.5" customHeight="1" x14ac:dyDescent="0.25">
      <c r="A97" s="130"/>
      <c r="B97" s="14"/>
      <c r="C97" s="14"/>
      <c r="D97" s="14"/>
      <c r="E97" s="14"/>
      <c r="F97" s="14"/>
      <c r="G97" s="120"/>
      <c r="H97" s="120"/>
      <c r="I97" s="112"/>
    </row>
    <row r="98" spans="1:9" ht="19.5" customHeight="1" x14ac:dyDescent="0.25">
      <c r="A98" s="130"/>
      <c r="B98" s="14"/>
      <c r="C98" s="14"/>
      <c r="D98" s="14"/>
      <c r="E98" s="14"/>
      <c r="F98" s="14"/>
      <c r="G98" s="120"/>
      <c r="H98" s="120"/>
      <c r="I98" s="112"/>
    </row>
    <row r="99" spans="1:9" ht="19.5" customHeight="1" x14ac:dyDescent="0.25">
      <c r="A99" s="130"/>
      <c r="B99" s="14"/>
      <c r="C99" s="14"/>
      <c r="D99" s="14"/>
      <c r="E99" s="14"/>
      <c r="F99" s="14"/>
      <c r="G99" s="120"/>
      <c r="H99" s="120"/>
      <c r="I99" s="112"/>
    </row>
    <row r="100" spans="1:9" ht="19.5" customHeight="1" x14ac:dyDescent="0.25">
      <c r="A100" s="130"/>
      <c r="B100" s="14"/>
      <c r="C100" s="14"/>
      <c r="D100" s="14"/>
      <c r="E100" s="14"/>
      <c r="F100" s="14"/>
      <c r="G100" s="120"/>
      <c r="H100" s="120"/>
      <c r="I100" s="112"/>
    </row>
    <row r="101" spans="1:9" ht="19.5" customHeight="1" x14ac:dyDescent="0.25">
      <c r="A101" s="130"/>
      <c r="B101" s="14"/>
      <c r="C101" s="14"/>
      <c r="D101" s="14"/>
      <c r="E101" s="14"/>
      <c r="F101" s="14"/>
      <c r="G101" s="120"/>
      <c r="H101" s="120"/>
      <c r="I101" s="112"/>
    </row>
    <row r="102" spans="1:9" ht="19.5" customHeight="1" x14ac:dyDescent="0.25">
      <c r="A102" s="130"/>
      <c r="B102" s="14"/>
      <c r="C102" s="14"/>
      <c r="D102" s="14"/>
      <c r="E102" s="14"/>
      <c r="F102" s="14"/>
      <c r="G102" s="120"/>
      <c r="H102" s="120"/>
      <c r="I102" s="112"/>
    </row>
    <row r="103" spans="1:9" ht="19.5" customHeight="1" x14ac:dyDescent="0.25">
      <c r="A103" s="130"/>
      <c r="B103" s="14"/>
      <c r="C103" s="14"/>
      <c r="D103" s="14"/>
      <c r="E103" s="14"/>
      <c r="F103" s="14"/>
      <c r="G103" s="120"/>
      <c r="H103" s="120"/>
      <c r="I103" s="112"/>
    </row>
    <row r="104" spans="1:9" ht="19.5" customHeight="1" x14ac:dyDescent="0.25">
      <c r="A104" s="130"/>
      <c r="B104" s="14"/>
      <c r="C104" s="14"/>
      <c r="D104" s="14"/>
      <c r="E104" s="14"/>
      <c r="F104" s="14"/>
      <c r="G104" s="120"/>
      <c r="H104" s="120"/>
      <c r="I104" s="112"/>
    </row>
    <row r="105" spans="1:9" ht="19.5" customHeight="1" x14ac:dyDescent="0.25">
      <c r="A105" s="130"/>
      <c r="B105" s="14"/>
      <c r="C105" s="14"/>
      <c r="D105" s="14"/>
      <c r="E105" s="14"/>
      <c r="F105" s="14"/>
      <c r="G105" s="120"/>
      <c r="H105" s="120"/>
      <c r="I105" s="112"/>
    </row>
    <row r="106" spans="1:9" ht="19.5" customHeight="1" x14ac:dyDescent="0.25">
      <c r="A106" s="130"/>
      <c r="B106" s="14"/>
      <c r="C106" s="14"/>
      <c r="D106" s="14"/>
      <c r="E106" s="14"/>
      <c r="F106" s="14"/>
      <c r="G106" s="120"/>
      <c r="H106" s="120"/>
      <c r="I106" s="112"/>
    </row>
    <row r="107" spans="1:9" ht="19.5" customHeight="1" x14ac:dyDescent="0.25">
      <c r="A107" s="130"/>
      <c r="B107" s="14"/>
      <c r="C107" s="14"/>
      <c r="D107" s="14"/>
      <c r="E107" s="14"/>
      <c r="F107" s="14"/>
      <c r="G107" s="120"/>
      <c r="H107" s="120"/>
      <c r="I107" s="112"/>
    </row>
    <row r="108" spans="1:9" ht="19.5" customHeight="1" x14ac:dyDescent="0.25">
      <c r="A108" s="130"/>
      <c r="B108" s="14"/>
      <c r="C108" s="14"/>
      <c r="D108" s="14"/>
      <c r="E108" s="14"/>
      <c r="F108" s="14"/>
      <c r="G108" s="120"/>
      <c r="H108" s="120"/>
      <c r="I108" s="112"/>
    </row>
    <row r="109" spans="1:9" ht="19.5" customHeight="1" x14ac:dyDescent="0.25">
      <c r="A109" s="130"/>
      <c r="B109" s="14"/>
      <c r="C109" s="14"/>
      <c r="D109" s="14"/>
      <c r="E109" s="14"/>
      <c r="F109" s="14"/>
      <c r="G109" s="120"/>
      <c r="H109" s="120"/>
      <c r="I109" s="112"/>
    </row>
    <row r="110" spans="1:9" ht="19.5" customHeight="1" x14ac:dyDescent="0.25">
      <c r="A110" s="130"/>
      <c r="B110" s="14"/>
      <c r="C110" s="14"/>
      <c r="D110" s="14"/>
      <c r="E110" s="14"/>
      <c r="F110" s="14"/>
      <c r="G110" s="120"/>
      <c r="H110" s="120"/>
      <c r="I110" s="112"/>
    </row>
    <row r="111" spans="1:9" ht="19.5" customHeight="1" x14ac:dyDescent="0.25">
      <c r="A111" s="130"/>
      <c r="B111" s="14"/>
      <c r="C111" s="14"/>
      <c r="D111" s="14"/>
      <c r="E111" s="14"/>
      <c r="F111" s="14"/>
      <c r="G111" s="120"/>
      <c r="H111" s="120"/>
      <c r="I111" s="112"/>
    </row>
    <row r="112" spans="1:9" ht="19.5" customHeight="1" x14ac:dyDescent="0.25">
      <c r="A112" s="130"/>
      <c r="B112" s="14"/>
      <c r="C112" s="14"/>
      <c r="D112" s="14"/>
      <c r="E112" s="14"/>
      <c r="F112" s="14"/>
      <c r="G112" s="120"/>
      <c r="H112" s="120"/>
      <c r="I112" s="112"/>
    </row>
    <row r="113" spans="1:9" ht="19.5" customHeight="1" x14ac:dyDescent="0.25">
      <c r="A113" s="130"/>
      <c r="B113" s="14"/>
      <c r="C113" s="14"/>
      <c r="D113" s="14"/>
      <c r="E113" s="14"/>
      <c r="F113" s="14"/>
      <c r="G113" s="120"/>
      <c r="H113" s="120"/>
      <c r="I113" s="112"/>
    </row>
    <row r="114" spans="1:9" ht="19.5" customHeight="1" x14ac:dyDescent="0.25">
      <c r="A114" s="130"/>
      <c r="B114" s="14"/>
      <c r="C114" s="14"/>
      <c r="D114" s="14"/>
      <c r="E114" s="14"/>
      <c r="F114" s="14"/>
      <c r="G114" s="120"/>
      <c r="H114" s="120"/>
      <c r="I114" s="112"/>
    </row>
    <row r="115" spans="1:9" ht="19.5" customHeight="1" x14ac:dyDescent="0.25">
      <c r="A115" s="130"/>
      <c r="B115" s="14"/>
      <c r="C115" s="14"/>
      <c r="D115" s="14"/>
      <c r="E115" s="14"/>
      <c r="F115" s="14"/>
      <c r="G115" s="120"/>
      <c r="H115" s="120"/>
      <c r="I115" s="112"/>
    </row>
    <row r="116" spans="1:9" ht="19.5" customHeight="1" x14ac:dyDescent="0.25">
      <c r="A116" s="130"/>
      <c r="B116" s="14"/>
      <c r="C116" s="14"/>
      <c r="D116" s="14"/>
      <c r="E116" s="14"/>
      <c r="F116" s="14"/>
      <c r="G116" s="120"/>
      <c r="H116" s="120"/>
      <c r="I116" s="112"/>
    </row>
    <row r="117" spans="1:9" ht="19.5" customHeight="1" x14ac:dyDescent="0.25">
      <c r="A117" s="130"/>
      <c r="B117" s="14"/>
      <c r="C117" s="14"/>
      <c r="D117" s="14"/>
      <c r="E117" s="14"/>
      <c r="F117" s="14"/>
      <c r="G117" s="120"/>
      <c r="H117" s="120"/>
      <c r="I117" s="112"/>
    </row>
    <row r="118" spans="1:9" ht="19.5" customHeight="1" x14ac:dyDescent="0.25">
      <c r="A118" s="130"/>
      <c r="B118" s="14"/>
      <c r="C118" s="14"/>
      <c r="D118" s="14"/>
      <c r="E118" s="14"/>
      <c r="F118" s="14"/>
      <c r="G118" s="120"/>
      <c r="H118" s="120"/>
      <c r="I118" s="112"/>
    </row>
    <row r="119" spans="1:9" ht="19.5" customHeight="1" x14ac:dyDescent="0.25">
      <c r="A119" s="130"/>
      <c r="B119" s="14"/>
      <c r="C119" s="14"/>
      <c r="D119" s="14"/>
      <c r="E119" s="14"/>
      <c r="F119" s="14"/>
      <c r="G119" s="120"/>
      <c r="H119" s="120"/>
      <c r="I119" s="112"/>
    </row>
    <row r="120" spans="1:9" ht="19.5" customHeight="1" x14ac:dyDescent="0.25">
      <c r="A120" s="130"/>
      <c r="B120" s="14"/>
      <c r="C120" s="14"/>
      <c r="D120" s="14"/>
      <c r="E120" s="14"/>
      <c r="F120" s="14"/>
      <c r="G120" s="120"/>
      <c r="H120" s="120"/>
      <c r="I120" s="112"/>
    </row>
    <row r="121" spans="1:9" ht="19.5" customHeight="1" x14ac:dyDescent="0.25">
      <c r="A121" s="130"/>
      <c r="B121" s="14"/>
      <c r="C121" s="14"/>
      <c r="D121" s="14"/>
      <c r="E121" s="14"/>
      <c r="F121" s="14"/>
      <c r="G121" s="120"/>
      <c r="H121" s="120"/>
      <c r="I121" s="112"/>
    </row>
    <row r="122" spans="1:9" ht="19.5" customHeight="1" x14ac:dyDescent="0.25">
      <c r="A122" s="130"/>
      <c r="B122" s="14"/>
      <c r="C122" s="14"/>
      <c r="D122" s="14"/>
      <c r="E122" s="14"/>
      <c r="F122" s="14"/>
      <c r="G122" s="120"/>
      <c r="H122" s="120"/>
      <c r="I122" s="112"/>
    </row>
    <row r="123" spans="1:9" ht="19.5" customHeight="1" x14ac:dyDescent="0.25">
      <c r="A123" s="130"/>
      <c r="B123" s="14"/>
      <c r="C123" s="14"/>
      <c r="D123" s="14"/>
      <c r="E123" s="14"/>
      <c r="F123" s="14"/>
      <c r="G123" s="120"/>
      <c r="H123" s="120"/>
      <c r="I123" s="112"/>
    </row>
    <row r="124" spans="1:9" ht="19.5" customHeight="1" x14ac:dyDescent="0.25">
      <c r="A124" s="130"/>
      <c r="B124" s="14"/>
      <c r="C124" s="14"/>
      <c r="D124" s="14"/>
      <c r="E124" s="14"/>
      <c r="F124" s="14"/>
      <c r="G124" s="120"/>
      <c r="H124" s="120"/>
      <c r="I124" s="112"/>
    </row>
    <row r="125" spans="1:9" ht="19.5" customHeight="1" x14ac:dyDescent="0.25">
      <c r="A125" s="130"/>
      <c r="B125" s="14"/>
      <c r="C125" s="14"/>
      <c r="D125" s="14"/>
      <c r="E125" s="14"/>
      <c r="F125" s="14"/>
      <c r="G125" s="120"/>
      <c r="H125" s="120"/>
      <c r="I125" s="112"/>
    </row>
    <row r="126" spans="1:9" ht="19.5" customHeight="1" x14ac:dyDescent="0.25">
      <c r="A126" s="130"/>
      <c r="B126" s="14"/>
      <c r="C126" s="14"/>
      <c r="D126" s="14"/>
      <c r="E126" s="14"/>
      <c r="F126" s="14"/>
      <c r="G126" s="120"/>
      <c r="H126" s="120"/>
      <c r="I126" s="112"/>
    </row>
    <row r="127" spans="1:9" ht="19.5" customHeight="1" x14ac:dyDescent="0.25">
      <c r="A127" s="130"/>
      <c r="B127" s="14"/>
      <c r="C127" s="14"/>
      <c r="D127" s="14"/>
      <c r="E127" s="14"/>
      <c r="F127" s="14"/>
      <c r="G127" s="120"/>
      <c r="H127" s="120"/>
      <c r="I127" s="112"/>
    </row>
    <row r="128" spans="1:9" ht="19.5" customHeight="1" x14ac:dyDescent="0.25">
      <c r="A128" s="130"/>
      <c r="B128" s="14"/>
      <c r="C128" s="14"/>
      <c r="D128" s="14"/>
      <c r="E128" s="14"/>
      <c r="F128" s="14"/>
      <c r="G128" s="120"/>
      <c r="H128" s="120"/>
      <c r="I128" s="112"/>
    </row>
    <row r="129" spans="1:9" ht="19.5" customHeight="1" x14ac:dyDescent="0.25">
      <c r="A129" s="130"/>
      <c r="B129" s="14"/>
      <c r="C129" s="14"/>
      <c r="D129" s="14"/>
      <c r="E129" s="14"/>
      <c r="F129" s="14"/>
      <c r="G129" s="120"/>
      <c r="H129" s="120"/>
      <c r="I129" s="112"/>
    </row>
    <row r="130" spans="1:9" ht="19.5" customHeight="1" x14ac:dyDescent="0.25">
      <c r="A130" s="130"/>
      <c r="B130" s="14"/>
      <c r="C130" s="14"/>
      <c r="D130" s="14"/>
      <c r="E130" s="14"/>
      <c r="F130" s="14"/>
      <c r="G130" s="120"/>
      <c r="H130" s="120"/>
      <c r="I130" s="112"/>
    </row>
    <row r="131" spans="1:9" ht="19.5" customHeight="1" x14ac:dyDescent="0.25">
      <c r="A131" s="130"/>
      <c r="B131" s="14"/>
      <c r="C131" s="14"/>
      <c r="D131" s="14"/>
      <c r="E131" s="14"/>
      <c r="F131" s="14"/>
      <c r="G131" s="120"/>
      <c r="H131" s="120"/>
      <c r="I131" s="112"/>
    </row>
    <row r="132" spans="1:9" ht="19.5" customHeight="1" x14ac:dyDescent="0.25">
      <c r="A132" s="130"/>
      <c r="B132" s="14"/>
      <c r="C132" s="14"/>
      <c r="D132" s="14"/>
      <c r="E132" s="14"/>
      <c r="F132" s="14"/>
      <c r="G132" s="120"/>
      <c r="H132" s="120"/>
      <c r="I132" s="112"/>
    </row>
    <row r="133" spans="1:9" ht="19.5" customHeight="1" x14ac:dyDescent="0.25">
      <c r="A133" s="130"/>
      <c r="B133" s="14"/>
      <c r="C133" s="14"/>
      <c r="D133" s="14"/>
      <c r="E133" s="14"/>
      <c r="F133" s="14"/>
      <c r="G133" s="120"/>
      <c r="H133" s="120"/>
      <c r="I133" s="112"/>
    </row>
    <row r="134" spans="1:9" ht="19.5" customHeight="1" x14ac:dyDescent="0.25">
      <c r="A134" s="130"/>
      <c r="B134" s="14"/>
      <c r="C134" s="14"/>
      <c r="D134" s="14"/>
      <c r="E134" s="14"/>
      <c r="F134" s="14"/>
      <c r="G134" s="120"/>
      <c r="H134" s="120"/>
      <c r="I134" s="112"/>
    </row>
    <row r="135" spans="1:9" ht="19.5" customHeight="1" x14ac:dyDescent="0.25">
      <c r="A135" s="130"/>
      <c r="B135" s="14"/>
      <c r="C135" s="14"/>
      <c r="D135" s="14"/>
      <c r="E135" s="14"/>
      <c r="F135" s="14"/>
      <c r="G135" s="120"/>
      <c r="H135" s="120"/>
      <c r="I135" s="112"/>
    </row>
    <row r="136" spans="1:9" ht="19.5" customHeight="1" x14ac:dyDescent="0.25">
      <c r="A136" s="130"/>
      <c r="B136" s="14"/>
      <c r="C136" s="14"/>
      <c r="D136" s="14"/>
      <c r="E136" s="14"/>
      <c r="F136" s="14"/>
      <c r="G136" s="120"/>
      <c r="H136" s="120"/>
      <c r="I136" s="112"/>
    </row>
    <row r="137" spans="1:9" ht="19.5" customHeight="1" x14ac:dyDescent="0.25">
      <c r="A137" s="130"/>
      <c r="B137" s="14"/>
      <c r="C137" s="14"/>
      <c r="D137" s="14"/>
      <c r="E137" s="14"/>
      <c r="F137" s="14"/>
      <c r="G137" s="120"/>
      <c r="H137" s="120"/>
      <c r="I137" s="112"/>
    </row>
    <row r="138" spans="1:9" ht="19.5" customHeight="1" x14ac:dyDescent="0.25">
      <c r="A138" s="130"/>
      <c r="B138" s="14"/>
      <c r="C138" s="14"/>
      <c r="D138" s="14"/>
      <c r="E138" s="14"/>
      <c r="F138" s="14"/>
      <c r="G138" s="120"/>
      <c r="H138" s="120"/>
      <c r="I138" s="112"/>
    </row>
    <row r="139" spans="1:9" ht="19.5" customHeight="1" x14ac:dyDescent="0.25">
      <c r="A139" s="130"/>
      <c r="B139" s="14"/>
      <c r="C139" s="14"/>
      <c r="D139" s="14"/>
      <c r="E139" s="14"/>
      <c r="F139" s="14"/>
      <c r="G139" s="120"/>
      <c r="H139" s="120"/>
      <c r="I139" s="112"/>
    </row>
    <row r="140" spans="1:9" ht="19.5" customHeight="1" x14ac:dyDescent="0.25">
      <c r="A140" s="130"/>
      <c r="B140" s="14"/>
      <c r="C140" s="14"/>
      <c r="D140" s="14"/>
      <c r="E140" s="14"/>
      <c r="F140" s="14"/>
      <c r="G140" s="120"/>
      <c r="H140" s="120"/>
      <c r="I140" s="112"/>
    </row>
    <row r="141" spans="1:9" ht="19.5" customHeight="1" x14ac:dyDescent="0.25">
      <c r="A141" s="130"/>
      <c r="B141" s="14"/>
      <c r="C141" s="14"/>
      <c r="D141" s="14"/>
      <c r="E141" s="14"/>
      <c r="F141" s="14"/>
      <c r="G141" s="120"/>
      <c r="H141" s="120"/>
      <c r="I141" s="112"/>
    </row>
    <row r="142" spans="1:9" ht="19.5" customHeight="1" x14ac:dyDescent="0.25">
      <c r="A142" s="130"/>
      <c r="B142" s="14"/>
      <c r="C142" s="14"/>
      <c r="D142" s="14"/>
      <c r="E142" s="14"/>
      <c r="F142" s="14"/>
      <c r="G142" s="120"/>
      <c r="H142" s="120"/>
      <c r="I142" s="112"/>
    </row>
    <row r="143" spans="1:9" ht="19.5" customHeight="1" x14ac:dyDescent="0.25">
      <c r="A143" s="130"/>
      <c r="B143" s="14"/>
      <c r="C143" s="14"/>
      <c r="D143" s="14"/>
      <c r="E143" s="14"/>
      <c r="F143" s="14"/>
      <c r="G143" s="120"/>
      <c r="H143" s="120"/>
      <c r="I143" s="112"/>
    </row>
    <row r="144" spans="1:9" ht="19.5" customHeight="1" x14ac:dyDescent="0.25">
      <c r="A144" s="130"/>
      <c r="B144" s="14"/>
      <c r="C144" s="14"/>
      <c r="D144" s="14"/>
      <c r="E144" s="14"/>
      <c r="F144" s="14"/>
      <c r="G144" s="120"/>
      <c r="H144" s="120"/>
      <c r="I144" s="112"/>
    </row>
    <row r="145" spans="1:9" ht="19.5" customHeight="1" x14ac:dyDescent="0.25">
      <c r="A145" s="130"/>
      <c r="B145" s="14"/>
      <c r="C145" s="14"/>
      <c r="D145" s="14"/>
      <c r="E145" s="14"/>
      <c r="F145" s="14"/>
      <c r="G145" s="120"/>
      <c r="H145" s="120"/>
      <c r="I145" s="112"/>
    </row>
    <row r="146" spans="1:9" ht="19.5" customHeight="1" x14ac:dyDescent="0.25">
      <c r="A146" s="130"/>
      <c r="B146" s="14"/>
      <c r="C146" s="14"/>
      <c r="D146" s="14"/>
      <c r="E146" s="14"/>
      <c r="F146" s="14"/>
      <c r="G146" s="120"/>
      <c r="H146" s="120"/>
      <c r="I146" s="112"/>
    </row>
    <row r="147" spans="1:9" ht="19.5" customHeight="1" x14ac:dyDescent="0.25">
      <c r="A147" s="130"/>
      <c r="B147" s="14"/>
      <c r="C147" s="14"/>
      <c r="D147" s="14"/>
      <c r="E147" s="14"/>
      <c r="F147" s="14"/>
      <c r="G147" s="120"/>
      <c r="H147" s="120"/>
      <c r="I147" s="112"/>
    </row>
    <row r="148" spans="1:9" ht="19.5" customHeight="1" x14ac:dyDescent="0.25">
      <c r="A148" s="130"/>
      <c r="B148" s="14"/>
      <c r="C148" s="14"/>
      <c r="D148" s="14"/>
      <c r="E148" s="14"/>
      <c r="F148" s="14"/>
      <c r="G148" s="120"/>
      <c r="H148" s="120"/>
      <c r="I148" s="112"/>
    </row>
    <row r="149" spans="1:9" ht="19.5" customHeight="1" x14ac:dyDescent="0.25">
      <c r="A149" s="130"/>
      <c r="B149" s="14"/>
      <c r="C149" s="14"/>
      <c r="D149" s="14"/>
      <c r="E149" s="14"/>
      <c r="F149" s="14"/>
      <c r="G149" s="120"/>
      <c r="H149" s="120"/>
      <c r="I149" s="112"/>
    </row>
    <row r="150" spans="1:9" ht="19.5" customHeight="1" x14ac:dyDescent="0.25">
      <c r="A150" s="130"/>
      <c r="B150" s="14"/>
      <c r="C150" s="14"/>
      <c r="D150" s="14"/>
      <c r="E150" s="14"/>
      <c r="F150" s="14"/>
      <c r="G150" s="120"/>
      <c r="H150" s="120"/>
      <c r="I150" s="112"/>
    </row>
    <row r="151" spans="1:9" ht="19.5" customHeight="1" x14ac:dyDescent="0.25">
      <c r="A151" s="130"/>
      <c r="B151" s="14"/>
      <c r="C151" s="14"/>
      <c r="D151" s="14"/>
      <c r="E151" s="14"/>
      <c r="F151" s="14"/>
      <c r="G151" s="120"/>
      <c r="H151" s="120"/>
      <c r="I151" s="112"/>
    </row>
    <row r="152" spans="1:9" ht="19.5" customHeight="1" x14ac:dyDescent="0.25">
      <c r="A152" s="130"/>
      <c r="B152" s="14"/>
      <c r="C152" s="14"/>
      <c r="D152" s="14"/>
      <c r="E152" s="14"/>
      <c r="F152" s="14"/>
      <c r="G152" s="120"/>
      <c r="H152" s="120"/>
      <c r="I152" s="112"/>
    </row>
    <row r="153" spans="1:9" ht="19.5" customHeight="1" x14ac:dyDescent="0.25">
      <c r="A153" s="130"/>
      <c r="B153" s="14"/>
      <c r="C153" s="14"/>
      <c r="D153" s="14"/>
      <c r="E153" s="14"/>
      <c r="F153" s="14"/>
      <c r="G153" s="120"/>
      <c r="H153" s="120"/>
      <c r="I153" s="112"/>
    </row>
    <row r="154" spans="1:9" ht="19.5" customHeight="1" x14ac:dyDescent="0.25">
      <c r="A154" s="130"/>
      <c r="B154" s="14"/>
      <c r="C154" s="14"/>
      <c r="D154" s="14"/>
      <c r="E154" s="14"/>
      <c r="F154" s="14"/>
      <c r="G154" s="120"/>
      <c r="H154" s="120"/>
      <c r="I154" s="112"/>
    </row>
    <row r="155" spans="1:9" ht="19.5" customHeight="1" x14ac:dyDescent="0.25">
      <c r="A155" s="130"/>
      <c r="B155" s="14"/>
      <c r="C155" s="14"/>
      <c r="D155" s="14"/>
      <c r="E155" s="14"/>
      <c r="F155" s="14"/>
      <c r="G155" s="120"/>
      <c r="H155" s="120"/>
      <c r="I155" s="112"/>
    </row>
    <row r="156" spans="1:9" ht="19.5" customHeight="1" x14ac:dyDescent="0.25">
      <c r="A156" s="130"/>
      <c r="B156" s="14"/>
      <c r="C156" s="14"/>
      <c r="D156" s="14"/>
      <c r="E156" s="14"/>
      <c r="F156" s="14"/>
      <c r="G156" s="120"/>
      <c r="H156" s="120"/>
      <c r="I156" s="112"/>
    </row>
    <row r="157" spans="1:9" ht="19.5" customHeight="1" x14ac:dyDescent="0.25">
      <c r="A157" s="130"/>
      <c r="B157" s="14"/>
      <c r="C157" s="14"/>
      <c r="D157" s="14"/>
      <c r="E157" s="14"/>
      <c r="F157" s="14"/>
      <c r="G157" s="120"/>
      <c r="H157" s="120"/>
      <c r="I157" s="112"/>
    </row>
    <row r="158" spans="1:9" ht="19.5" customHeight="1" x14ac:dyDescent="0.25">
      <c r="A158" s="130"/>
      <c r="B158" s="14"/>
      <c r="C158" s="14"/>
      <c r="D158" s="14"/>
      <c r="E158" s="14"/>
      <c r="F158" s="14"/>
      <c r="G158" s="120"/>
      <c r="H158" s="120"/>
      <c r="I158" s="112"/>
    </row>
    <row r="159" spans="1:9" ht="19.5" customHeight="1" x14ac:dyDescent="0.25">
      <c r="A159" s="130"/>
      <c r="B159" s="14"/>
      <c r="C159" s="14"/>
      <c r="D159" s="14"/>
      <c r="E159" s="14"/>
      <c r="F159" s="14"/>
      <c r="G159" s="120"/>
      <c r="H159" s="120"/>
      <c r="I159" s="112"/>
    </row>
    <row r="160" spans="1:9" ht="19.5" customHeight="1" x14ac:dyDescent="0.25">
      <c r="A160" s="130"/>
      <c r="B160" s="14"/>
      <c r="C160" s="14"/>
      <c r="D160" s="14"/>
      <c r="E160" s="14"/>
      <c r="F160" s="14"/>
      <c r="G160" s="120"/>
      <c r="H160" s="120"/>
      <c r="I160" s="112"/>
    </row>
    <row r="161" spans="1:9" ht="19.5" customHeight="1" x14ac:dyDescent="0.25">
      <c r="A161" s="130"/>
      <c r="B161" s="14"/>
      <c r="C161" s="14"/>
      <c r="D161" s="14"/>
      <c r="E161" s="14"/>
      <c r="F161" s="14"/>
      <c r="G161" s="120"/>
      <c r="H161" s="120"/>
      <c r="I161" s="112"/>
    </row>
    <row r="162" spans="1:9" ht="19.5" customHeight="1" x14ac:dyDescent="0.25">
      <c r="A162" s="130"/>
      <c r="B162" s="14"/>
      <c r="C162" s="14"/>
      <c r="D162" s="14"/>
      <c r="E162" s="14"/>
      <c r="F162" s="14"/>
      <c r="G162" s="120"/>
      <c r="H162" s="120"/>
      <c r="I162" s="112"/>
    </row>
    <row r="163" spans="1:9" ht="19.5" customHeight="1" x14ac:dyDescent="0.25">
      <c r="A163" s="130"/>
      <c r="B163" s="14"/>
      <c r="C163" s="14"/>
      <c r="D163" s="14"/>
      <c r="E163" s="14"/>
      <c r="F163" s="14"/>
      <c r="G163" s="120"/>
      <c r="H163" s="120"/>
      <c r="I163" s="112"/>
    </row>
    <row r="164" spans="1:9" ht="19.5" customHeight="1" x14ac:dyDescent="0.25">
      <c r="A164" s="130"/>
      <c r="B164" s="14"/>
      <c r="C164" s="14"/>
      <c r="D164" s="14"/>
      <c r="E164" s="14"/>
      <c r="F164" s="14"/>
      <c r="G164" s="120"/>
      <c r="H164" s="120"/>
      <c r="I164" s="112"/>
    </row>
    <row r="165" spans="1:9" ht="19.5" customHeight="1" x14ac:dyDescent="0.25">
      <c r="A165" s="130"/>
      <c r="B165" s="14"/>
      <c r="C165" s="14"/>
      <c r="D165" s="14"/>
      <c r="E165" s="14"/>
      <c r="F165" s="14"/>
      <c r="G165" s="120"/>
      <c r="H165" s="120"/>
      <c r="I165" s="112"/>
    </row>
    <row r="166" spans="1:9" ht="19.5" customHeight="1" x14ac:dyDescent="0.25">
      <c r="A166" s="130"/>
      <c r="B166" s="14"/>
      <c r="C166" s="14"/>
      <c r="D166" s="14"/>
      <c r="E166" s="14"/>
      <c r="F166" s="14"/>
      <c r="G166" s="120"/>
      <c r="H166" s="120"/>
      <c r="I166" s="112"/>
    </row>
    <row r="167" spans="1:9" ht="19.5" customHeight="1" x14ac:dyDescent="0.25">
      <c r="A167" s="130"/>
      <c r="B167" s="14"/>
      <c r="C167" s="14"/>
      <c r="D167" s="14"/>
      <c r="E167" s="14"/>
      <c r="F167" s="14"/>
      <c r="G167" s="120"/>
      <c r="H167" s="120"/>
      <c r="I167" s="112"/>
    </row>
    <row r="168" spans="1:9" ht="19.5" customHeight="1" x14ac:dyDescent="0.25">
      <c r="A168" s="130"/>
      <c r="B168" s="14"/>
      <c r="C168" s="14"/>
      <c r="D168" s="14"/>
      <c r="E168" s="14"/>
      <c r="F168" s="14"/>
      <c r="G168" s="120"/>
      <c r="H168" s="120"/>
      <c r="I168" s="112"/>
    </row>
    <row r="169" spans="1:9" ht="19.5" customHeight="1" x14ac:dyDescent="0.25">
      <c r="A169" s="130"/>
      <c r="B169" s="14"/>
      <c r="C169" s="14"/>
      <c r="D169" s="14"/>
      <c r="E169" s="14"/>
      <c r="F169" s="14"/>
      <c r="G169" s="120"/>
      <c r="H169" s="120"/>
      <c r="I169" s="112"/>
    </row>
    <row r="170" spans="1:9" ht="19.5" customHeight="1" x14ac:dyDescent="0.25">
      <c r="A170" s="130"/>
      <c r="B170" s="14"/>
      <c r="C170" s="14"/>
      <c r="D170" s="14"/>
      <c r="E170" s="14"/>
      <c r="F170" s="14"/>
      <c r="G170" s="120"/>
      <c r="H170" s="120"/>
      <c r="I170" s="112"/>
    </row>
    <row r="171" spans="1:9" ht="19.5" customHeight="1" x14ac:dyDescent="0.25">
      <c r="A171" s="130"/>
      <c r="B171" s="14"/>
      <c r="C171" s="14"/>
      <c r="D171" s="14"/>
      <c r="E171" s="14"/>
      <c r="F171" s="14"/>
      <c r="G171" s="120"/>
      <c r="H171" s="120"/>
      <c r="I171" s="112"/>
    </row>
    <row r="172" spans="1:9" ht="19.5" customHeight="1" x14ac:dyDescent="0.25">
      <c r="A172" s="130"/>
      <c r="B172" s="14"/>
      <c r="C172" s="14"/>
      <c r="D172" s="14"/>
      <c r="E172" s="14"/>
      <c r="F172" s="14"/>
      <c r="G172" s="120"/>
      <c r="H172" s="120"/>
      <c r="I172" s="112"/>
    </row>
    <row r="173" spans="1:9" ht="19.5" customHeight="1" x14ac:dyDescent="0.25">
      <c r="A173" s="130"/>
      <c r="B173" s="14"/>
      <c r="C173" s="14"/>
      <c r="D173" s="14"/>
      <c r="E173" s="14"/>
      <c r="F173" s="14"/>
      <c r="G173" s="120"/>
      <c r="H173" s="120"/>
      <c r="I173" s="112"/>
    </row>
    <row r="174" spans="1:9" ht="19.5" customHeight="1" x14ac:dyDescent="0.25">
      <c r="A174" s="130"/>
      <c r="B174" s="14"/>
      <c r="C174" s="14"/>
      <c r="D174" s="14"/>
      <c r="E174" s="14"/>
      <c r="F174" s="14"/>
      <c r="G174" s="120"/>
      <c r="H174" s="120"/>
      <c r="I174" s="112"/>
    </row>
    <row r="175" spans="1:9" ht="19.5" customHeight="1" x14ac:dyDescent="0.25">
      <c r="A175" s="130"/>
      <c r="B175" s="14"/>
      <c r="C175" s="14"/>
      <c r="D175" s="14"/>
      <c r="E175" s="14"/>
      <c r="F175" s="14"/>
      <c r="G175" s="120"/>
      <c r="H175" s="120"/>
      <c r="I175" s="112"/>
    </row>
    <row r="176" spans="1:9" ht="19.5" customHeight="1" x14ac:dyDescent="0.25">
      <c r="A176" s="130"/>
      <c r="B176" s="14"/>
      <c r="C176" s="14"/>
      <c r="D176" s="14"/>
      <c r="E176" s="14"/>
      <c r="F176" s="14"/>
      <c r="G176" s="120"/>
      <c r="H176" s="120"/>
      <c r="I176" s="112"/>
    </row>
    <row r="177" spans="1:9" ht="19.5" customHeight="1" x14ac:dyDescent="0.25">
      <c r="A177" s="130"/>
      <c r="B177" s="14"/>
      <c r="C177" s="14"/>
      <c r="D177" s="14"/>
      <c r="E177" s="14"/>
      <c r="F177" s="14"/>
      <c r="G177" s="120"/>
      <c r="H177" s="120"/>
      <c r="I177" s="112"/>
    </row>
    <row r="178" spans="1:9" ht="19.5" customHeight="1" x14ac:dyDescent="0.25">
      <c r="A178" s="130"/>
      <c r="B178" s="14"/>
      <c r="C178" s="14"/>
      <c r="D178" s="14"/>
      <c r="E178" s="14"/>
      <c r="F178" s="14"/>
      <c r="G178" s="120"/>
      <c r="H178" s="120"/>
      <c r="I178" s="112"/>
    </row>
    <row r="179" spans="1:9" ht="19.5" customHeight="1" x14ac:dyDescent="0.25">
      <c r="A179" s="130"/>
      <c r="B179" s="14"/>
      <c r="C179" s="14"/>
      <c r="D179" s="14"/>
      <c r="E179" s="14"/>
      <c r="F179" s="14"/>
      <c r="G179" s="120"/>
      <c r="H179" s="120"/>
      <c r="I179" s="112"/>
    </row>
    <row r="180" spans="1:9" ht="19.5" customHeight="1" x14ac:dyDescent="0.25">
      <c r="A180" s="130"/>
      <c r="B180" s="14"/>
      <c r="C180" s="14"/>
      <c r="D180" s="14"/>
      <c r="E180" s="14"/>
      <c r="F180" s="14"/>
      <c r="G180" s="120"/>
      <c r="H180" s="120"/>
      <c r="I180" s="112"/>
    </row>
    <row r="181" spans="1:9" ht="19.5" customHeight="1" x14ac:dyDescent="0.25">
      <c r="A181" s="130"/>
      <c r="B181" s="14"/>
      <c r="C181" s="14"/>
      <c r="D181" s="14"/>
      <c r="E181" s="14"/>
      <c r="F181" s="14"/>
      <c r="G181" s="120"/>
      <c r="H181" s="120"/>
      <c r="I181" s="112"/>
    </row>
    <row r="182" spans="1:9" ht="19.5" customHeight="1" x14ac:dyDescent="0.25">
      <c r="A182" s="130"/>
      <c r="B182" s="14"/>
      <c r="C182" s="14"/>
      <c r="D182" s="14"/>
      <c r="E182" s="14"/>
      <c r="F182" s="14"/>
      <c r="G182" s="120"/>
      <c r="H182" s="120"/>
      <c r="I182" s="112"/>
    </row>
    <row r="183" spans="1:9" ht="19.5" customHeight="1" x14ac:dyDescent="0.25">
      <c r="A183" s="130"/>
      <c r="B183" s="14"/>
      <c r="C183" s="14"/>
      <c r="D183" s="14"/>
      <c r="E183" s="14"/>
      <c r="F183" s="14"/>
      <c r="G183" s="120"/>
      <c r="H183" s="120"/>
      <c r="I183" s="112"/>
    </row>
    <row r="184" spans="1:9" ht="19.5" customHeight="1" x14ac:dyDescent="0.25">
      <c r="A184" s="130"/>
      <c r="B184" s="14"/>
      <c r="C184" s="14"/>
      <c r="D184" s="14"/>
      <c r="E184" s="14"/>
      <c r="F184" s="14"/>
      <c r="G184" s="120"/>
      <c r="H184" s="120"/>
      <c r="I184" s="112"/>
    </row>
    <row r="185" spans="1:9" ht="19.5" customHeight="1" x14ac:dyDescent="0.25">
      <c r="A185" s="130"/>
      <c r="B185" s="14"/>
      <c r="C185" s="14"/>
      <c r="D185" s="14"/>
      <c r="E185" s="14"/>
      <c r="F185" s="14"/>
      <c r="G185" s="120"/>
      <c r="H185" s="120"/>
      <c r="I185" s="112"/>
    </row>
    <row r="186" spans="1:9" ht="19.5" customHeight="1" x14ac:dyDescent="0.25">
      <c r="A186" s="130"/>
      <c r="B186" s="14"/>
      <c r="C186" s="14"/>
      <c r="D186" s="14"/>
      <c r="E186" s="14"/>
      <c r="F186" s="14"/>
      <c r="G186" s="120"/>
      <c r="H186" s="120"/>
      <c r="I186" s="112"/>
    </row>
    <row r="187" spans="1:9" ht="19.5" customHeight="1" x14ac:dyDescent="0.25">
      <c r="A187" s="130"/>
      <c r="B187" s="14"/>
      <c r="C187" s="14"/>
      <c r="D187" s="14"/>
      <c r="E187" s="14"/>
      <c r="F187" s="14"/>
      <c r="G187" s="120"/>
      <c r="H187" s="120"/>
      <c r="I187" s="112"/>
    </row>
    <row r="188" spans="1:9" ht="19.5" customHeight="1" x14ac:dyDescent="0.25">
      <c r="A188" s="130"/>
      <c r="B188" s="14"/>
      <c r="C188" s="14"/>
      <c r="D188" s="14"/>
      <c r="E188" s="14"/>
      <c r="F188" s="14"/>
      <c r="G188" s="120"/>
      <c r="H188" s="120"/>
      <c r="I188" s="112"/>
    </row>
    <row r="189" spans="1:9" ht="19.5" customHeight="1" x14ac:dyDescent="0.25">
      <c r="A189" s="130"/>
      <c r="B189" s="14"/>
      <c r="C189" s="14"/>
      <c r="D189" s="14"/>
      <c r="E189" s="14"/>
      <c r="F189" s="14"/>
      <c r="G189" s="120"/>
      <c r="H189" s="120"/>
      <c r="I189" s="112"/>
    </row>
    <row r="190" spans="1:9" ht="19.5" customHeight="1" x14ac:dyDescent="0.25">
      <c r="A190" s="130"/>
      <c r="B190" s="14"/>
      <c r="C190" s="14"/>
      <c r="D190" s="14"/>
      <c r="E190" s="14"/>
      <c r="F190" s="14"/>
      <c r="G190" s="120"/>
      <c r="H190" s="120"/>
      <c r="I190" s="112"/>
    </row>
    <row r="191" spans="1:9" ht="19.5" customHeight="1" x14ac:dyDescent="0.25">
      <c r="A191" s="130"/>
      <c r="B191" s="14"/>
      <c r="C191" s="14"/>
      <c r="D191" s="14"/>
      <c r="E191" s="14"/>
      <c r="F191" s="14"/>
      <c r="G191" s="120"/>
      <c r="H191" s="120"/>
      <c r="I191" s="112"/>
    </row>
    <row r="192" spans="1:9" ht="19.5" customHeight="1" x14ac:dyDescent="0.25">
      <c r="A192" s="130"/>
      <c r="B192" s="14"/>
      <c r="C192" s="14"/>
      <c r="D192" s="14"/>
      <c r="E192" s="14"/>
      <c r="F192" s="14"/>
      <c r="G192" s="120"/>
      <c r="H192" s="120"/>
      <c r="I192" s="112"/>
    </row>
    <row r="193" spans="1:9" ht="19.5" customHeight="1" x14ac:dyDescent="0.25">
      <c r="A193" s="130"/>
      <c r="B193" s="14"/>
      <c r="C193" s="14"/>
      <c r="D193" s="14"/>
      <c r="E193" s="14"/>
      <c r="F193" s="14"/>
      <c r="G193" s="120"/>
      <c r="H193" s="120"/>
      <c r="I193" s="112"/>
    </row>
    <row r="194" spans="1:9" ht="19.5" customHeight="1" x14ac:dyDescent="0.25">
      <c r="A194" s="130"/>
      <c r="B194" s="14"/>
      <c r="C194" s="14"/>
      <c r="D194" s="14"/>
      <c r="E194" s="14"/>
      <c r="F194" s="14"/>
      <c r="G194" s="120"/>
      <c r="H194" s="120"/>
      <c r="I194" s="112"/>
    </row>
    <row r="195" spans="1:9" ht="19.5" customHeight="1" x14ac:dyDescent="0.25">
      <c r="A195" s="130"/>
      <c r="B195" s="14"/>
      <c r="C195" s="14"/>
      <c r="D195" s="14"/>
      <c r="E195" s="14"/>
      <c r="F195" s="14"/>
      <c r="G195" s="120"/>
      <c r="H195" s="120"/>
      <c r="I195" s="112"/>
    </row>
    <row r="196" spans="1:9" ht="19.5" customHeight="1" x14ac:dyDescent="0.25">
      <c r="A196" s="130"/>
      <c r="B196" s="14"/>
      <c r="C196" s="14"/>
      <c r="D196" s="14"/>
      <c r="E196" s="14"/>
      <c r="F196" s="14"/>
      <c r="G196" s="120"/>
      <c r="H196" s="120"/>
      <c r="I196" s="112"/>
    </row>
    <row r="197" spans="1:9" ht="19.5" customHeight="1" x14ac:dyDescent="0.25">
      <c r="A197" s="130"/>
      <c r="B197" s="14"/>
      <c r="C197" s="14"/>
      <c r="D197" s="14"/>
      <c r="E197" s="14"/>
      <c r="F197" s="14"/>
      <c r="G197" s="120"/>
      <c r="H197" s="120"/>
      <c r="I197" s="112"/>
    </row>
    <row r="198" spans="1:9" ht="19.5" customHeight="1" x14ac:dyDescent="0.25">
      <c r="A198" s="130"/>
      <c r="B198" s="14"/>
      <c r="C198" s="14"/>
      <c r="D198" s="14"/>
      <c r="E198" s="14"/>
      <c r="F198" s="14"/>
      <c r="G198" s="120"/>
      <c r="H198" s="120"/>
      <c r="I198" s="112"/>
    </row>
    <row r="199" spans="1:9" ht="19.5" customHeight="1" x14ac:dyDescent="0.25">
      <c r="A199" s="130"/>
      <c r="B199" s="14"/>
      <c r="C199" s="14"/>
      <c r="D199" s="14"/>
      <c r="E199" s="14"/>
      <c r="F199" s="14"/>
      <c r="G199" s="120"/>
      <c r="H199" s="120"/>
      <c r="I199" s="112"/>
    </row>
    <row r="200" spans="1:9" ht="19.5" customHeight="1" x14ac:dyDescent="0.25">
      <c r="A200" s="130"/>
      <c r="B200" s="14"/>
      <c r="C200" s="14"/>
      <c r="D200" s="14"/>
      <c r="E200" s="14"/>
      <c r="F200" s="14"/>
      <c r="G200" s="120"/>
      <c r="H200" s="120"/>
      <c r="I200" s="112"/>
    </row>
    <row r="201" spans="1:9" ht="19.5" customHeight="1" x14ac:dyDescent="0.25">
      <c r="A201" s="130"/>
      <c r="B201" s="14"/>
      <c r="C201" s="14"/>
      <c r="D201" s="14"/>
      <c r="E201" s="14"/>
      <c r="F201" s="14"/>
      <c r="G201" s="120"/>
      <c r="H201" s="120"/>
      <c r="I201" s="112"/>
    </row>
    <row r="202" spans="1:9" ht="19.5" customHeight="1" x14ac:dyDescent="0.25">
      <c r="A202" s="130"/>
      <c r="B202" s="14"/>
      <c r="C202" s="14"/>
      <c r="D202" s="14"/>
      <c r="E202" s="14"/>
      <c r="F202" s="14"/>
      <c r="G202" s="120"/>
      <c r="H202" s="120"/>
      <c r="I202" s="112"/>
    </row>
    <row r="203" spans="1:9" ht="19.5" customHeight="1" x14ac:dyDescent="0.25">
      <c r="A203" s="130"/>
      <c r="B203" s="14"/>
      <c r="C203" s="14"/>
      <c r="D203" s="14"/>
      <c r="E203" s="14"/>
      <c r="F203" s="14"/>
      <c r="G203" s="120"/>
      <c r="H203" s="120"/>
      <c r="I203" s="112"/>
    </row>
    <row r="204" spans="1:9" ht="19.5" customHeight="1" x14ac:dyDescent="0.25">
      <c r="A204" s="130"/>
      <c r="B204" s="14"/>
      <c r="C204" s="14"/>
      <c r="D204" s="14"/>
      <c r="E204" s="14"/>
      <c r="F204" s="14"/>
      <c r="G204" s="120"/>
      <c r="H204" s="120"/>
      <c r="I204" s="112"/>
    </row>
    <row r="205" spans="1:9" ht="19.5" customHeight="1" x14ac:dyDescent="0.25">
      <c r="A205" s="130"/>
      <c r="B205" s="14"/>
      <c r="C205" s="14"/>
      <c r="D205" s="14"/>
      <c r="E205" s="14"/>
      <c r="F205" s="14"/>
      <c r="G205" s="120"/>
      <c r="H205" s="120"/>
      <c r="I205" s="112"/>
    </row>
    <row r="206" spans="1:9" ht="19.5" customHeight="1" x14ac:dyDescent="0.25">
      <c r="A206" s="130"/>
      <c r="B206" s="14"/>
      <c r="C206" s="14"/>
      <c r="D206" s="14"/>
      <c r="E206" s="14"/>
      <c r="F206" s="14"/>
      <c r="G206" s="120"/>
      <c r="H206" s="120"/>
      <c r="I206" s="112"/>
    </row>
    <row r="207" spans="1:9" ht="19.5" customHeight="1" x14ac:dyDescent="0.25">
      <c r="A207" s="130"/>
      <c r="B207" s="14"/>
      <c r="C207" s="14"/>
      <c r="D207" s="14"/>
      <c r="E207" s="14"/>
      <c r="F207" s="14"/>
      <c r="G207" s="120"/>
      <c r="H207" s="120"/>
      <c r="I207" s="112"/>
    </row>
    <row r="208" spans="1:9" ht="19.5" customHeight="1" x14ac:dyDescent="0.25">
      <c r="A208" s="130"/>
      <c r="B208" s="14"/>
      <c r="C208" s="14"/>
      <c r="D208" s="14"/>
      <c r="E208" s="14"/>
      <c r="F208" s="14"/>
      <c r="G208" s="120"/>
      <c r="H208" s="120"/>
      <c r="I208" s="112"/>
    </row>
    <row r="209" spans="1:9" ht="19.5" customHeight="1" x14ac:dyDescent="0.25">
      <c r="A209" s="130"/>
      <c r="B209" s="14"/>
      <c r="C209" s="14"/>
      <c r="D209" s="14"/>
      <c r="E209" s="14"/>
      <c r="F209" s="14"/>
      <c r="G209" s="120"/>
      <c r="H209" s="120"/>
      <c r="I209" s="112"/>
    </row>
    <row r="210" spans="1:9" ht="19.5" customHeight="1" x14ac:dyDescent="0.25">
      <c r="A210" s="130"/>
      <c r="B210" s="14"/>
      <c r="C210" s="14"/>
      <c r="D210" s="14"/>
      <c r="E210" s="14"/>
      <c r="F210" s="14"/>
      <c r="G210" s="120"/>
      <c r="H210" s="120"/>
      <c r="I210" s="112"/>
    </row>
    <row r="211" spans="1:9" ht="19.5" customHeight="1" x14ac:dyDescent="0.25">
      <c r="A211" s="130"/>
      <c r="B211" s="14"/>
      <c r="C211" s="14"/>
      <c r="D211" s="14"/>
      <c r="E211" s="14"/>
      <c r="F211" s="14"/>
      <c r="G211" s="120"/>
      <c r="H211" s="120"/>
      <c r="I211" s="112"/>
    </row>
    <row r="212" spans="1:9" ht="19.5" customHeight="1" x14ac:dyDescent="0.25">
      <c r="A212" s="130"/>
      <c r="B212" s="14"/>
      <c r="C212" s="14"/>
      <c r="D212" s="14"/>
      <c r="E212" s="14"/>
      <c r="F212" s="14"/>
      <c r="G212" s="120"/>
      <c r="H212" s="120"/>
      <c r="I212" s="112"/>
    </row>
    <row r="213" spans="1:9" ht="19.5" customHeight="1" x14ac:dyDescent="0.25">
      <c r="A213" s="130"/>
      <c r="B213" s="14"/>
      <c r="C213" s="14"/>
      <c r="D213" s="14"/>
      <c r="E213" s="14"/>
      <c r="F213" s="14"/>
      <c r="G213" s="120"/>
      <c r="H213" s="120"/>
      <c r="I213" s="112"/>
    </row>
    <row r="214" spans="1:9" ht="19.5" customHeight="1" x14ac:dyDescent="0.25">
      <c r="A214" s="130"/>
      <c r="B214" s="14"/>
      <c r="C214" s="14"/>
      <c r="D214" s="14"/>
      <c r="E214" s="14"/>
      <c r="F214" s="14"/>
      <c r="G214" s="120"/>
      <c r="H214" s="120"/>
      <c r="I214" s="112"/>
    </row>
    <row r="215" spans="1:9" ht="19.5" customHeight="1" x14ac:dyDescent="0.25">
      <c r="A215" s="130"/>
      <c r="B215" s="14"/>
      <c r="C215" s="14"/>
      <c r="D215" s="14"/>
      <c r="E215" s="14"/>
      <c r="F215" s="14"/>
      <c r="G215" s="120"/>
      <c r="H215" s="120"/>
      <c r="I215" s="112"/>
    </row>
    <row r="216" spans="1:9" ht="19.5" customHeight="1" x14ac:dyDescent="0.25">
      <c r="A216" s="130"/>
      <c r="B216" s="14"/>
      <c r="C216" s="14"/>
      <c r="D216" s="14"/>
      <c r="E216" s="14"/>
      <c r="F216" s="14"/>
      <c r="G216" s="120"/>
      <c r="H216" s="120"/>
      <c r="I216" s="112"/>
    </row>
    <row r="217" spans="1:9" ht="19.5" customHeight="1" x14ac:dyDescent="0.25">
      <c r="A217" s="130"/>
      <c r="B217" s="14"/>
      <c r="C217" s="14"/>
      <c r="D217" s="14"/>
      <c r="E217" s="14"/>
      <c r="F217" s="14"/>
      <c r="G217" s="120"/>
      <c r="H217" s="120"/>
      <c r="I217" s="112"/>
    </row>
    <row r="218" spans="1:9" ht="19.5" customHeight="1" x14ac:dyDescent="0.25">
      <c r="A218" s="130"/>
      <c r="B218" s="14"/>
      <c r="C218" s="14"/>
      <c r="D218" s="14"/>
      <c r="E218" s="14"/>
      <c r="F218" s="14"/>
      <c r="G218" s="120"/>
      <c r="H218" s="120"/>
      <c r="I218" s="112"/>
    </row>
    <row r="219" spans="1:9" ht="19.5" customHeight="1" x14ac:dyDescent="0.25">
      <c r="A219" s="130"/>
      <c r="B219" s="14"/>
      <c r="C219" s="14"/>
      <c r="D219" s="14"/>
      <c r="E219" s="14"/>
      <c r="F219" s="14"/>
      <c r="G219" s="120"/>
      <c r="H219" s="120"/>
      <c r="I219" s="112"/>
    </row>
    <row r="220" spans="1:9" ht="19.5" customHeight="1" x14ac:dyDescent="0.25">
      <c r="A220" s="130"/>
      <c r="B220" s="14"/>
      <c r="C220" s="14"/>
      <c r="D220" s="14"/>
      <c r="E220" s="14"/>
      <c r="F220" s="14"/>
      <c r="G220" s="120"/>
      <c r="H220" s="120"/>
      <c r="I220" s="112"/>
    </row>
    <row r="221" spans="1:9" ht="19.5" customHeight="1" x14ac:dyDescent="0.25">
      <c r="A221" s="130"/>
      <c r="B221" s="14"/>
      <c r="C221" s="14"/>
      <c r="D221" s="14"/>
      <c r="E221" s="14"/>
      <c r="F221" s="14"/>
      <c r="G221" s="120"/>
      <c r="H221" s="120"/>
      <c r="I221" s="112"/>
    </row>
    <row r="222" spans="1:9" ht="19.5" customHeight="1" x14ac:dyDescent="0.25">
      <c r="A222" s="130"/>
      <c r="B222" s="14"/>
      <c r="C222" s="14"/>
      <c r="D222" s="14"/>
      <c r="E222" s="14"/>
      <c r="F222" s="14"/>
      <c r="G222" s="120"/>
      <c r="H222" s="120"/>
      <c r="I222" s="112"/>
    </row>
    <row r="223" spans="1:9" ht="19.5" customHeight="1" x14ac:dyDescent="0.25">
      <c r="A223" s="130"/>
      <c r="B223" s="14"/>
      <c r="C223" s="14"/>
      <c r="D223" s="14"/>
      <c r="E223" s="14"/>
      <c r="F223" s="14"/>
      <c r="G223" s="120"/>
      <c r="H223" s="120"/>
      <c r="I223" s="112"/>
    </row>
    <row r="224" spans="1:9" ht="19.5" customHeight="1" x14ac:dyDescent="0.25">
      <c r="A224" s="130"/>
      <c r="B224" s="14"/>
      <c r="C224" s="14"/>
      <c r="D224" s="14"/>
      <c r="E224" s="14"/>
      <c r="F224" s="14"/>
      <c r="G224" s="120"/>
      <c r="H224" s="120"/>
      <c r="I224" s="112"/>
    </row>
    <row r="225" spans="1:9" ht="19.5" customHeight="1" x14ac:dyDescent="0.25">
      <c r="A225" s="130"/>
      <c r="B225" s="14"/>
      <c r="C225" s="14"/>
      <c r="D225" s="14"/>
      <c r="E225" s="14"/>
      <c r="F225" s="14"/>
      <c r="G225" s="120"/>
      <c r="H225" s="120"/>
      <c r="I225" s="112"/>
    </row>
    <row r="226" spans="1:9" ht="19.5" customHeight="1" x14ac:dyDescent="0.25">
      <c r="A226" s="130"/>
      <c r="B226" s="14"/>
      <c r="C226" s="14"/>
      <c r="D226" s="14"/>
      <c r="E226" s="14"/>
      <c r="F226" s="14"/>
      <c r="G226" s="120"/>
      <c r="H226" s="120"/>
      <c r="I226" s="112"/>
    </row>
    <row r="227" spans="1:9" ht="19.5" customHeight="1" x14ac:dyDescent="0.25">
      <c r="A227" s="130"/>
      <c r="B227" s="14"/>
      <c r="C227" s="14"/>
      <c r="D227" s="14"/>
      <c r="E227" s="14"/>
      <c r="F227" s="14"/>
      <c r="G227" s="120"/>
      <c r="H227" s="120"/>
      <c r="I227" s="112"/>
    </row>
    <row r="228" spans="1:9" ht="19.5" customHeight="1" x14ac:dyDescent="0.25">
      <c r="A228" s="130"/>
      <c r="B228" s="14"/>
      <c r="C228" s="14"/>
      <c r="D228" s="14"/>
      <c r="E228" s="14"/>
      <c r="F228" s="14"/>
      <c r="G228" s="120"/>
      <c r="H228" s="120"/>
      <c r="I228" s="112"/>
    </row>
    <row r="229" spans="1:9" ht="19.5" customHeight="1" x14ac:dyDescent="0.25">
      <c r="A229" s="130"/>
      <c r="B229" s="14"/>
      <c r="C229" s="14"/>
      <c r="D229" s="14"/>
      <c r="E229" s="14"/>
      <c r="F229" s="14"/>
      <c r="G229" s="120"/>
      <c r="H229" s="120"/>
      <c r="I229" s="112"/>
    </row>
    <row r="230" spans="1:9" ht="19.5" customHeight="1" x14ac:dyDescent="0.25">
      <c r="A230" s="130"/>
      <c r="B230" s="14"/>
      <c r="C230" s="14"/>
      <c r="D230" s="14"/>
      <c r="E230" s="14"/>
      <c r="F230" s="14"/>
      <c r="G230" s="120"/>
      <c r="H230" s="120"/>
      <c r="I230" s="112"/>
    </row>
    <row r="231" spans="1:9" ht="19.5" customHeight="1" x14ac:dyDescent="0.25">
      <c r="A231" s="130"/>
      <c r="B231" s="14"/>
      <c r="C231" s="14"/>
      <c r="D231" s="14"/>
      <c r="E231" s="14"/>
      <c r="F231" s="14"/>
      <c r="G231" s="120"/>
      <c r="H231" s="120"/>
      <c r="I231" s="112"/>
    </row>
    <row r="232" spans="1:9" ht="19.5" customHeight="1" x14ac:dyDescent="0.25">
      <c r="A232" s="130"/>
      <c r="B232" s="14"/>
      <c r="C232" s="14"/>
      <c r="D232" s="14"/>
      <c r="E232" s="14"/>
      <c r="F232" s="14"/>
      <c r="G232" s="120"/>
      <c r="H232" s="120"/>
      <c r="I232" s="112"/>
    </row>
    <row r="233" spans="1:9" ht="19.5" customHeight="1" x14ac:dyDescent="0.25">
      <c r="A233" s="130"/>
      <c r="B233" s="14"/>
      <c r="C233" s="14"/>
      <c r="D233" s="14"/>
      <c r="E233" s="14"/>
      <c r="F233" s="14"/>
      <c r="G233" s="120"/>
      <c r="H233" s="120"/>
      <c r="I233" s="112"/>
    </row>
    <row r="234" spans="1:9" ht="19.5" customHeight="1" x14ac:dyDescent="0.25">
      <c r="A234" s="130"/>
      <c r="B234" s="14"/>
      <c r="C234" s="14"/>
      <c r="D234" s="14"/>
      <c r="E234" s="14"/>
      <c r="F234" s="14"/>
      <c r="G234" s="120"/>
      <c r="H234" s="120"/>
      <c r="I234" s="112"/>
    </row>
    <row r="235" spans="1:9" ht="19.5" customHeight="1" x14ac:dyDescent="0.25">
      <c r="A235" s="130"/>
      <c r="B235" s="14"/>
      <c r="C235" s="14"/>
      <c r="D235" s="14"/>
      <c r="E235" s="14"/>
      <c r="F235" s="14"/>
      <c r="G235" s="120"/>
      <c r="H235" s="120"/>
      <c r="I235" s="112"/>
    </row>
    <row r="236" spans="1:9" ht="19.5" customHeight="1" x14ac:dyDescent="0.25">
      <c r="A236" s="130"/>
      <c r="B236" s="14"/>
      <c r="C236" s="14"/>
      <c r="D236" s="14"/>
      <c r="E236" s="14"/>
      <c r="F236" s="14"/>
      <c r="G236" s="120"/>
      <c r="H236" s="120"/>
      <c r="I236" s="112"/>
    </row>
    <row r="237" spans="1:9" ht="19.5" customHeight="1" x14ac:dyDescent="0.25">
      <c r="A237" s="130"/>
      <c r="B237" s="14"/>
      <c r="C237" s="14"/>
      <c r="D237" s="14"/>
      <c r="E237" s="14"/>
      <c r="F237" s="14"/>
      <c r="G237" s="120"/>
      <c r="H237" s="120"/>
      <c r="I237" s="112"/>
    </row>
    <row r="238" spans="1:9" ht="19.5" customHeight="1" x14ac:dyDescent="0.25">
      <c r="A238" s="130"/>
      <c r="B238" s="14"/>
      <c r="C238" s="14"/>
      <c r="D238" s="14"/>
      <c r="E238" s="14"/>
      <c r="F238" s="14"/>
      <c r="G238" s="120"/>
      <c r="H238" s="120"/>
      <c r="I238" s="112"/>
    </row>
    <row r="239" spans="1:9" ht="19.5" customHeight="1" x14ac:dyDescent="0.25">
      <c r="A239" s="130"/>
      <c r="B239" s="14"/>
      <c r="C239" s="14"/>
      <c r="D239" s="14"/>
      <c r="E239" s="14"/>
      <c r="F239" s="14"/>
      <c r="G239" s="120"/>
      <c r="H239" s="120"/>
      <c r="I239" s="112"/>
    </row>
    <row r="240" spans="1:9" ht="19.5" customHeight="1" x14ac:dyDescent="0.25">
      <c r="A240" s="130"/>
      <c r="B240" s="14"/>
      <c r="C240" s="14"/>
      <c r="D240" s="14"/>
      <c r="E240" s="14"/>
      <c r="F240" s="14"/>
      <c r="G240" s="120"/>
      <c r="H240" s="120"/>
      <c r="I240" s="112"/>
    </row>
    <row r="241" spans="1:9" ht="19.5" customHeight="1" x14ac:dyDescent="0.25">
      <c r="A241" s="130"/>
      <c r="B241" s="14"/>
      <c r="C241" s="14"/>
      <c r="D241" s="14"/>
      <c r="E241" s="14"/>
      <c r="F241" s="14"/>
      <c r="G241" s="120"/>
      <c r="H241" s="120"/>
      <c r="I241" s="112"/>
    </row>
    <row r="242" spans="1:9" ht="19.5" customHeight="1" x14ac:dyDescent="0.25">
      <c r="A242" s="130"/>
      <c r="B242" s="14"/>
      <c r="C242" s="14"/>
      <c r="D242" s="14"/>
      <c r="E242" s="14"/>
      <c r="F242" s="14"/>
      <c r="G242" s="120"/>
      <c r="H242" s="120"/>
      <c r="I242" s="112"/>
    </row>
    <row r="243" spans="1:9" ht="19.5" customHeight="1" x14ac:dyDescent="0.25">
      <c r="A243" s="130"/>
      <c r="B243" s="14"/>
      <c r="C243" s="14"/>
      <c r="D243" s="14"/>
      <c r="E243" s="14"/>
      <c r="F243" s="14"/>
      <c r="G243" s="120"/>
      <c r="H243" s="120"/>
      <c r="I243" s="112"/>
    </row>
    <row r="244" spans="1:9" ht="19.5" customHeight="1" x14ac:dyDescent="0.25">
      <c r="A244" s="130"/>
      <c r="B244" s="14"/>
      <c r="C244" s="14"/>
      <c r="D244" s="14"/>
      <c r="E244" s="14"/>
      <c r="F244" s="14"/>
      <c r="G244" s="120"/>
      <c r="H244" s="120"/>
      <c r="I244" s="112"/>
    </row>
    <row r="245" spans="1:9" ht="19.5" customHeight="1" x14ac:dyDescent="0.25">
      <c r="A245" s="130"/>
      <c r="B245" s="14"/>
      <c r="C245" s="14"/>
      <c r="D245" s="14"/>
      <c r="E245" s="14"/>
      <c r="F245" s="14"/>
      <c r="G245" s="120"/>
      <c r="H245" s="120"/>
      <c r="I245" s="112"/>
    </row>
    <row r="246" spans="1:9" ht="19.5" customHeight="1" x14ac:dyDescent="0.25">
      <c r="A246" s="130"/>
      <c r="B246" s="14"/>
      <c r="C246" s="14"/>
      <c r="D246" s="14"/>
      <c r="E246" s="14"/>
      <c r="F246" s="14"/>
      <c r="G246" s="120"/>
      <c r="H246" s="120"/>
      <c r="I246" s="112"/>
    </row>
    <row r="247" spans="1:9" ht="19.5" customHeight="1" x14ac:dyDescent="0.25">
      <c r="A247" s="130"/>
      <c r="B247" s="14"/>
      <c r="C247" s="14"/>
      <c r="D247" s="14"/>
      <c r="E247" s="14"/>
      <c r="F247" s="14"/>
      <c r="G247" s="120"/>
      <c r="H247" s="120"/>
      <c r="I247" s="112"/>
    </row>
    <row r="248" spans="1:9" ht="19.5" customHeight="1" x14ac:dyDescent="0.25">
      <c r="A248" s="130"/>
      <c r="B248" s="14"/>
      <c r="C248" s="14"/>
      <c r="D248" s="14"/>
      <c r="E248" s="14"/>
      <c r="F248" s="14"/>
      <c r="G248" s="120"/>
      <c r="H248" s="120"/>
      <c r="I248" s="112"/>
    </row>
    <row r="249" spans="1:9" ht="19.5" customHeight="1" x14ac:dyDescent="0.25">
      <c r="A249" s="130"/>
      <c r="B249" s="14"/>
      <c r="C249" s="14"/>
      <c r="D249" s="14"/>
      <c r="E249" s="14"/>
      <c r="F249" s="14"/>
      <c r="G249" s="120"/>
      <c r="H249" s="120"/>
      <c r="I249" s="112"/>
    </row>
    <row r="250" spans="1:9" ht="19.5" customHeight="1" x14ac:dyDescent="0.25">
      <c r="A250" s="130"/>
      <c r="B250" s="14"/>
      <c r="C250" s="14"/>
      <c r="D250" s="14"/>
      <c r="E250" s="14"/>
      <c r="F250" s="14"/>
      <c r="G250" s="120"/>
      <c r="H250" s="120"/>
      <c r="I250" s="112"/>
    </row>
    <row r="251" spans="1:9" ht="19.5" customHeight="1" x14ac:dyDescent="0.25">
      <c r="A251" s="130"/>
      <c r="B251" s="14"/>
      <c r="C251" s="14"/>
      <c r="D251" s="14"/>
      <c r="E251" s="14"/>
      <c r="F251" s="14"/>
      <c r="G251" s="120"/>
      <c r="H251" s="120"/>
      <c r="I251" s="112"/>
    </row>
    <row r="252" spans="1:9" ht="19.5" customHeight="1" x14ac:dyDescent="0.25">
      <c r="A252" s="130"/>
      <c r="B252" s="14"/>
      <c r="C252" s="14"/>
      <c r="D252" s="14"/>
      <c r="E252" s="14"/>
      <c r="F252" s="14"/>
      <c r="G252" s="120"/>
      <c r="H252" s="120"/>
      <c r="I252" s="112"/>
    </row>
    <row r="253" spans="1:9" ht="19.5" customHeight="1" x14ac:dyDescent="0.25">
      <c r="A253" s="130"/>
      <c r="B253" s="14"/>
      <c r="C253" s="14"/>
      <c r="D253" s="14"/>
      <c r="E253" s="14"/>
      <c r="F253" s="14"/>
      <c r="G253" s="120"/>
      <c r="H253" s="120"/>
      <c r="I253" s="112"/>
    </row>
    <row r="254" spans="1:9" ht="19.5" customHeight="1" x14ac:dyDescent="0.25">
      <c r="A254" s="130"/>
      <c r="B254" s="14"/>
      <c r="C254" s="14"/>
      <c r="D254" s="14"/>
      <c r="E254" s="14"/>
      <c r="F254" s="14"/>
      <c r="G254" s="120"/>
      <c r="H254" s="120"/>
      <c r="I254" s="112"/>
    </row>
    <row r="255" spans="1:9" ht="19.5" customHeight="1" x14ac:dyDescent="0.25">
      <c r="A255" s="130"/>
      <c r="B255" s="14"/>
      <c r="C255" s="14"/>
      <c r="D255" s="14"/>
      <c r="E255" s="14"/>
      <c r="F255" s="14"/>
      <c r="G255" s="120"/>
      <c r="H255" s="120"/>
      <c r="I255" s="112"/>
    </row>
    <row r="256" spans="1:9" ht="19.5" customHeight="1" x14ac:dyDescent="0.25">
      <c r="A256" s="130"/>
      <c r="B256" s="14"/>
      <c r="C256" s="14"/>
      <c r="D256" s="14"/>
      <c r="E256" s="14"/>
      <c r="F256" s="14"/>
      <c r="G256" s="120"/>
      <c r="H256" s="120"/>
      <c r="I256" s="112"/>
    </row>
    <row r="257" spans="1:9" ht="19.5" customHeight="1" x14ac:dyDescent="0.25">
      <c r="A257" s="130"/>
      <c r="B257" s="14"/>
      <c r="C257" s="14"/>
      <c r="D257" s="14"/>
      <c r="E257" s="14"/>
      <c r="F257" s="14"/>
      <c r="G257" s="120"/>
      <c r="H257" s="120"/>
      <c r="I257" s="112"/>
    </row>
    <row r="258" spans="1:9" ht="19.5" customHeight="1" x14ac:dyDescent="0.25">
      <c r="A258" s="130"/>
      <c r="B258" s="14"/>
      <c r="C258" s="14"/>
      <c r="D258" s="14"/>
      <c r="E258" s="14"/>
      <c r="F258" s="14"/>
      <c r="G258" s="120"/>
      <c r="H258" s="120"/>
      <c r="I258" s="112"/>
    </row>
    <row r="259" spans="1:9" ht="19.5" customHeight="1" x14ac:dyDescent="0.25">
      <c r="A259" s="130"/>
      <c r="B259" s="14"/>
      <c r="C259" s="14"/>
      <c r="D259" s="14"/>
      <c r="E259" s="14"/>
      <c r="F259" s="14"/>
      <c r="G259" s="120"/>
      <c r="H259" s="120"/>
      <c r="I259" s="112"/>
    </row>
    <row r="260" spans="1:9" ht="19.5" customHeight="1" x14ac:dyDescent="0.25">
      <c r="A260" s="130"/>
      <c r="B260" s="14"/>
      <c r="C260" s="14"/>
      <c r="D260" s="14"/>
      <c r="E260" s="14"/>
      <c r="F260" s="14"/>
      <c r="G260" s="120"/>
      <c r="H260" s="120"/>
      <c r="I260" s="112"/>
    </row>
    <row r="261" spans="1:9" ht="19.5" customHeight="1" x14ac:dyDescent="0.25">
      <c r="A261" s="130"/>
      <c r="B261" s="14"/>
      <c r="C261" s="14"/>
      <c r="D261" s="14"/>
      <c r="E261" s="14"/>
      <c r="F261" s="14"/>
      <c r="G261" s="120"/>
      <c r="H261" s="120"/>
      <c r="I261" s="112"/>
    </row>
    <row r="262" spans="1:9" ht="19.5" customHeight="1" x14ac:dyDescent="0.25">
      <c r="A262" s="130"/>
      <c r="B262" s="14"/>
      <c r="C262" s="14"/>
      <c r="D262" s="14"/>
      <c r="E262" s="14"/>
      <c r="F262" s="14"/>
      <c r="G262" s="120"/>
      <c r="H262" s="120"/>
      <c r="I262" s="112"/>
    </row>
    <row r="263" spans="1:9" ht="19.5" customHeight="1" x14ac:dyDescent="0.25">
      <c r="A263" s="130"/>
      <c r="B263" s="14"/>
      <c r="C263" s="14"/>
      <c r="D263" s="14"/>
      <c r="E263" s="14"/>
      <c r="F263" s="14"/>
      <c r="G263" s="120"/>
      <c r="H263" s="120"/>
      <c r="I263" s="112"/>
    </row>
    <row r="264" spans="1:9" ht="19.5" customHeight="1" x14ac:dyDescent="0.25">
      <c r="A264" s="130"/>
      <c r="B264" s="14"/>
      <c r="C264" s="14"/>
      <c r="D264" s="14"/>
      <c r="E264" s="14"/>
      <c r="F264" s="14"/>
      <c r="G264" s="120"/>
      <c r="H264" s="120"/>
      <c r="I264" s="112"/>
    </row>
    <row r="265" spans="1:9" ht="19.5" customHeight="1" x14ac:dyDescent="0.25">
      <c r="A265" s="130"/>
      <c r="B265" s="14"/>
      <c r="C265" s="14"/>
      <c r="D265" s="14"/>
      <c r="E265" s="14"/>
      <c r="F265" s="14"/>
      <c r="G265" s="120"/>
      <c r="H265" s="120"/>
      <c r="I265" s="112"/>
    </row>
    <row r="266" spans="1:9" ht="19.5" customHeight="1" x14ac:dyDescent="0.25">
      <c r="A266" s="130"/>
      <c r="B266" s="14"/>
      <c r="C266" s="14"/>
      <c r="D266" s="14"/>
      <c r="E266" s="14"/>
      <c r="F266" s="14"/>
      <c r="G266" s="120"/>
      <c r="H266" s="120"/>
      <c r="I266" s="112"/>
    </row>
    <row r="267" spans="1:9" ht="19.5" customHeight="1" x14ac:dyDescent="0.25">
      <c r="A267" s="130"/>
      <c r="B267" s="14"/>
      <c r="C267" s="14"/>
      <c r="D267" s="14"/>
      <c r="E267" s="14"/>
      <c r="F267" s="14"/>
      <c r="G267" s="120"/>
      <c r="H267" s="120"/>
      <c r="I267" s="112"/>
    </row>
    <row r="268" spans="1:9" ht="19.5" customHeight="1" x14ac:dyDescent="0.25">
      <c r="A268" s="130"/>
      <c r="B268" s="14"/>
      <c r="C268" s="14"/>
      <c r="D268" s="14"/>
      <c r="E268" s="14"/>
      <c r="F268" s="14"/>
      <c r="G268" s="120"/>
      <c r="H268" s="120"/>
      <c r="I268" s="112"/>
    </row>
    <row r="269" spans="1:9" ht="19.5" customHeight="1" x14ac:dyDescent="0.25">
      <c r="A269" s="130"/>
      <c r="B269" s="14"/>
      <c r="C269" s="14"/>
      <c r="D269" s="14"/>
      <c r="E269" s="14"/>
      <c r="F269" s="14"/>
      <c r="G269" s="120"/>
      <c r="H269" s="120"/>
      <c r="I269" s="112"/>
    </row>
    <row r="270" spans="1:9" ht="19.5" customHeight="1" x14ac:dyDescent="0.25">
      <c r="A270" s="130"/>
      <c r="B270" s="14"/>
      <c r="C270" s="14"/>
      <c r="D270" s="14"/>
      <c r="E270" s="14"/>
      <c r="F270" s="14"/>
      <c r="G270" s="120"/>
      <c r="H270" s="120"/>
      <c r="I270" s="112"/>
    </row>
    <row r="271" spans="1:9" ht="19.5" customHeight="1" x14ac:dyDescent="0.25">
      <c r="A271" s="130"/>
      <c r="B271" s="14"/>
      <c r="C271" s="14"/>
      <c r="D271" s="14"/>
      <c r="E271" s="14"/>
      <c r="F271" s="14"/>
      <c r="G271" s="120"/>
      <c r="H271" s="120"/>
      <c r="I271" s="112"/>
    </row>
    <row r="272" spans="1:9" ht="19.5" customHeight="1" x14ac:dyDescent="0.25">
      <c r="A272" s="130"/>
      <c r="B272" s="14"/>
      <c r="C272" s="14"/>
      <c r="D272" s="14"/>
      <c r="E272" s="14"/>
      <c r="F272" s="14"/>
      <c r="G272" s="120"/>
      <c r="H272" s="120"/>
      <c r="I272" s="112"/>
    </row>
    <row r="273" spans="1:9" ht="19.5" customHeight="1" x14ac:dyDescent="0.25">
      <c r="A273" s="130"/>
      <c r="B273" s="14"/>
      <c r="C273" s="14"/>
      <c r="D273" s="14"/>
      <c r="E273" s="14"/>
      <c r="F273" s="14"/>
      <c r="G273" s="120"/>
      <c r="H273" s="120"/>
      <c r="I273" s="112"/>
    </row>
    <row r="274" spans="1:9" ht="19.5" customHeight="1" x14ac:dyDescent="0.25">
      <c r="A274" s="130"/>
      <c r="B274" s="14"/>
      <c r="C274" s="14"/>
      <c r="D274" s="14"/>
      <c r="E274" s="14"/>
      <c r="F274" s="14"/>
      <c r="G274" s="120"/>
      <c r="H274" s="120"/>
      <c r="I274" s="112"/>
    </row>
    <row r="275" spans="1:9" ht="19.5" customHeight="1" x14ac:dyDescent="0.25">
      <c r="A275" s="130"/>
      <c r="B275" s="14"/>
      <c r="C275" s="14"/>
      <c r="D275" s="14"/>
      <c r="E275" s="14"/>
      <c r="F275" s="14"/>
      <c r="G275" s="120"/>
      <c r="H275" s="120"/>
      <c r="I275" s="112"/>
    </row>
    <row r="276" spans="1:9" ht="19.5" customHeight="1" x14ac:dyDescent="0.25">
      <c r="A276" s="130"/>
      <c r="B276" s="14"/>
      <c r="C276" s="14"/>
      <c r="D276" s="14"/>
      <c r="E276" s="14"/>
      <c r="F276" s="14"/>
      <c r="G276" s="120"/>
      <c r="H276" s="120"/>
      <c r="I276" s="112"/>
    </row>
    <row r="277" spans="1:9" ht="19.5" customHeight="1" x14ac:dyDescent="0.25">
      <c r="A277" s="130"/>
      <c r="B277" s="14"/>
      <c r="C277" s="14"/>
      <c r="D277" s="14"/>
      <c r="E277" s="14"/>
      <c r="F277" s="14"/>
      <c r="G277" s="120"/>
      <c r="H277" s="120"/>
      <c r="I277" s="112"/>
    </row>
    <row r="278" spans="1:9" ht="19.5" customHeight="1" x14ac:dyDescent="0.25">
      <c r="A278" s="130"/>
      <c r="B278" s="14"/>
      <c r="C278" s="14"/>
      <c r="D278" s="14"/>
      <c r="E278" s="14"/>
      <c r="F278" s="14"/>
      <c r="G278" s="120"/>
      <c r="H278" s="120"/>
      <c r="I278" s="112"/>
    </row>
    <row r="279" spans="1:9" ht="19.5" customHeight="1" x14ac:dyDescent="0.25">
      <c r="A279" s="130"/>
      <c r="B279" s="14"/>
      <c r="C279" s="14"/>
      <c r="D279" s="14"/>
      <c r="E279" s="14"/>
      <c r="F279" s="14"/>
      <c r="G279" s="120"/>
      <c r="H279" s="120"/>
      <c r="I279" s="112"/>
    </row>
    <row r="280" spans="1:9" ht="19.5" customHeight="1" x14ac:dyDescent="0.25">
      <c r="A280" s="130"/>
      <c r="B280" s="14"/>
      <c r="C280" s="14"/>
      <c r="D280" s="14"/>
      <c r="E280" s="14"/>
      <c r="F280" s="14"/>
      <c r="G280" s="120"/>
      <c r="H280" s="120"/>
      <c r="I280" s="112"/>
    </row>
    <row r="281" spans="1:9" ht="19.5" customHeight="1" x14ac:dyDescent="0.25">
      <c r="A281" s="130"/>
      <c r="B281" s="14"/>
      <c r="C281" s="14"/>
      <c r="D281" s="14"/>
      <c r="E281" s="14"/>
      <c r="F281" s="14"/>
      <c r="G281" s="120"/>
      <c r="H281" s="120"/>
      <c r="I281" s="112"/>
    </row>
    <row r="282" spans="1:9" ht="19.5" customHeight="1" x14ac:dyDescent="0.25">
      <c r="A282" s="130"/>
      <c r="B282" s="14"/>
      <c r="C282" s="14"/>
      <c r="D282" s="14"/>
      <c r="E282" s="14"/>
      <c r="F282" s="14"/>
      <c r="G282" s="120"/>
      <c r="H282" s="120"/>
      <c r="I282" s="112"/>
    </row>
    <row r="283" spans="1:9" ht="19.5" customHeight="1" x14ac:dyDescent="0.25">
      <c r="A283" s="130"/>
      <c r="B283" s="14"/>
      <c r="C283" s="14"/>
      <c r="D283" s="14"/>
      <c r="E283" s="14"/>
      <c r="F283" s="14"/>
      <c r="G283" s="120"/>
      <c r="H283" s="120"/>
      <c r="I283" s="112"/>
    </row>
    <row r="284" spans="1:9" ht="19.5" customHeight="1" x14ac:dyDescent="0.25">
      <c r="A284" s="130"/>
      <c r="B284" s="14"/>
      <c r="C284" s="14"/>
      <c r="D284" s="14"/>
      <c r="E284" s="14"/>
      <c r="F284" s="14"/>
      <c r="G284" s="120"/>
      <c r="H284" s="120"/>
      <c r="I284" s="112"/>
    </row>
    <row r="285" spans="1:9" ht="19.5" customHeight="1" x14ac:dyDescent="0.25">
      <c r="A285" s="130"/>
      <c r="B285" s="14"/>
      <c r="C285" s="14"/>
      <c r="D285" s="14"/>
      <c r="E285" s="14"/>
      <c r="F285" s="14"/>
      <c r="G285" s="120"/>
      <c r="H285" s="120"/>
      <c r="I285" s="112"/>
    </row>
    <row r="286" spans="1:9" ht="19.5" customHeight="1" x14ac:dyDescent="0.25">
      <c r="A286" s="130"/>
      <c r="B286" s="14"/>
      <c r="C286" s="14"/>
      <c r="D286" s="14"/>
      <c r="E286" s="14"/>
      <c r="F286" s="14"/>
      <c r="G286" s="120"/>
      <c r="H286" s="120"/>
      <c r="I286" s="112"/>
    </row>
    <row r="287" spans="1:9" ht="19.5" customHeight="1" x14ac:dyDescent="0.25">
      <c r="A287" s="130"/>
      <c r="B287" s="14"/>
      <c r="C287" s="14"/>
      <c r="D287" s="14"/>
      <c r="E287" s="14"/>
      <c r="F287" s="14"/>
      <c r="G287" s="120"/>
      <c r="H287" s="120"/>
      <c r="I287" s="112"/>
    </row>
    <row r="288" spans="1:9" ht="19.5" customHeight="1" x14ac:dyDescent="0.25">
      <c r="A288" s="130"/>
      <c r="B288" s="14"/>
      <c r="C288" s="14"/>
      <c r="D288" s="14"/>
      <c r="E288" s="14"/>
      <c r="F288" s="14"/>
      <c r="G288" s="120"/>
      <c r="H288" s="120"/>
      <c r="I288" s="112"/>
    </row>
    <row r="289" spans="1:9" ht="19.5" customHeight="1" x14ac:dyDescent="0.25">
      <c r="A289" s="130"/>
      <c r="B289" s="14"/>
      <c r="C289" s="14"/>
      <c r="D289" s="14"/>
      <c r="E289" s="14"/>
      <c r="F289" s="14"/>
      <c r="G289" s="120"/>
      <c r="H289" s="120"/>
      <c r="I289" s="112"/>
    </row>
    <row r="290" spans="1:9" ht="19.5" customHeight="1" x14ac:dyDescent="0.25">
      <c r="A290" s="130"/>
      <c r="B290" s="14"/>
      <c r="C290" s="14"/>
      <c r="D290" s="14"/>
      <c r="E290" s="14"/>
      <c r="F290" s="14"/>
      <c r="G290" s="120"/>
      <c r="H290" s="120"/>
      <c r="I290" s="112"/>
    </row>
    <row r="291" spans="1:9" ht="19.5" customHeight="1" x14ac:dyDescent="0.25">
      <c r="A291" s="130"/>
      <c r="B291" s="14"/>
      <c r="C291" s="14"/>
      <c r="D291" s="14"/>
      <c r="E291" s="14"/>
      <c r="F291" s="14"/>
      <c r="G291" s="120"/>
      <c r="H291" s="120"/>
      <c r="I291" s="112"/>
    </row>
    <row r="292" spans="1:9" ht="19.5" customHeight="1" x14ac:dyDescent="0.25">
      <c r="A292" s="130"/>
      <c r="B292" s="14"/>
      <c r="C292" s="14"/>
      <c r="D292" s="14"/>
      <c r="E292" s="14"/>
      <c r="F292" s="14"/>
      <c r="G292" s="120"/>
      <c r="H292" s="120"/>
      <c r="I292" s="112"/>
    </row>
    <row r="293" spans="1:9" ht="19.5" customHeight="1" x14ac:dyDescent="0.25">
      <c r="A293" s="130"/>
      <c r="B293" s="14"/>
      <c r="C293" s="14"/>
      <c r="D293" s="14"/>
      <c r="E293" s="14"/>
      <c r="F293" s="14"/>
      <c r="G293" s="120"/>
      <c r="H293" s="120"/>
      <c r="I293" s="112"/>
    </row>
    <row r="294" spans="1:9" ht="19.5" customHeight="1" x14ac:dyDescent="0.25">
      <c r="A294" s="130"/>
      <c r="B294" s="14"/>
      <c r="C294" s="14"/>
      <c r="D294" s="14"/>
      <c r="E294" s="14"/>
      <c r="F294" s="14"/>
      <c r="G294" s="120"/>
      <c r="H294" s="120"/>
      <c r="I294" s="112"/>
    </row>
    <row r="295" spans="1:9" ht="19.5" customHeight="1" x14ac:dyDescent="0.25">
      <c r="A295" s="130"/>
      <c r="B295" s="14"/>
      <c r="C295" s="14"/>
      <c r="D295" s="14"/>
      <c r="E295" s="14"/>
      <c r="F295" s="14"/>
      <c r="G295" s="120"/>
      <c r="H295" s="120"/>
      <c r="I295" s="112"/>
    </row>
    <row r="296" spans="1:9" ht="19.5" customHeight="1" x14ac:dyDescent="0.25">
      <c r="A296" s="130"/>
      <c r="B296" s="14"/>
      <c r="C296" s="14"/>
      <c r="D296" s="14"/>
      <c r="E296" s="14"/>
      <c r="F296" s="14"/>
      <c r="G296" s="120"/>
      <c r="H296" s="120"/>
      <c r="I296" s="112"/>
    </row>
    <row r="297" spans="1:9" ht="19.5" customHeight="1" x14ac:dyDescent="0.25">
      <c r="A297" s="130"/>
      <c r="B297" s="14"/>
      <c r="C297" s="14"/>
      <c r="D297" s="14"/>
      <c r="E297" s="14"/>
      <c r="F297" s="14"/>
      <c r="G297" s="120"/>
      <c r="H297" s="120"/>
      <c r="I297" s="112"/>
    </row>
    <row r="298" spans="1:9" ht="19.5" customHeight="1" x14ac:dyDescent="0.25">
      <c r="A298" s="130"/>
      <c r="B298" s="14"/>
      <c r="C298" s="14"/>
      <c r="D298" s="14"/>
      <c r="E298" s="14"/>
      <c r="F298" s="14"/>
      <c r="G298" s="120"/>
      <c r="H298" s="120"/>
      <c r="I298" s="112"/>
    </row>
    <row r="299" spans="1:9" ht="19.5" customHeight="1" x14ac:dyDescent="0.25">
      <c r="A299" s="130"/>
      <c r="B299" s="14"/>
      <c r="C299" s="14"/>
      <c r="D299" s="14"/>
      <c r="E299" s="14"/>
      <c r="F299" s="14"/>
      <c r="G299" s="120"/>
      <c r="H299" s="120"/>
      <c r="I299" s="112"/>
    </row>
    <row r="300" spans="1:9" ht="19.5" customHeight="1" x14ac:dyDescent="0.25">
      <c r="A300" s="131"/>
      <c r="B300" s="127"/>
      <c r="C300" s="127"/>
      <c r="D300" s="127"/>
      <c r="E300" s="127"/>
      <c r="F300" s="127"/>
      <c r="G300" s="121"/>
      <c r="H300" s="121"/>
      <c r="I300" s="114"/>
    </row>
    <row r="301" spans="1:9" ht="19.5" customHeight="1" x14ac:dyDescent="0.25">
      <c r="A301" s="133"/>
      <c r="I301" s="132"/>
    </row>
    <row r="302" spans="1:9" ht="19.5" customHeight="1" x14ac:dyDescent="0.25">
      <c r="A302" s="133"/>
      <c r="I302" s="132"/>
    </row>
    <row r="303" spans="1:9" ht="19.5" customHeight="1" x14ac:dyDescent="0.25">
      <c r="A303" s="133"/>
      <c r="I303" s="132"/>
    </row>
    <row r="304" spans="1:9" ht="19.5" customHeight="1" x14ac:dyDescent="0.25">
      <c r="A304" s="133"/>
      <c r="I304" s="132"/>
    </row>
    <row r="305" spans="1:9" ht="19.5" customHeight="1" x14ac:dyDescent="0.25">
      <c r="A305" s="133"/>
      <c r="I305" s="132"/>
    </row>
    <row r="306" spans="1:9" ht="19.5" customHeight="1" x14ac:dyDescent="0.25">
      <c r="A306" s="133"/>
      <c r="I306" s="132"/>
    </row>
    <row r="307" spans="1:9" ht="19.5" customHeight="1" x14ac:dyDescent="0.25">
      <c r="A307" s="133"/>
      <c r="I307" s="132"/>
    </row>
    <row r="308" spans="1:9" ht="19.5" customHeight="1" x14ac:dyDescent="0.25">
      <c r="A308" s="133"/>
      <c r="I308" s="132"/>
    </row>
    <row r="309" spans="1:9" ht="19.5" customHeight="1" x14ac:dyDescent="0.25">
      <c r="A309" s="133"/>
      <c r="I309" s="132"/>
    </row>
    <row r="310" spans="1:9" ht="19.5" customHeight="1" x14ac:dyDescent="0.25">
      <c r="A310" s="133"/>
      <c r="I310" s="132"/>
    </row>
    <row r="311" spans="1:9" ht="19.5" customHeight="1" x14ac:dyDescent="0.25">
      <c r="A311" s="133"/>
      <c r="I311" s="132"/>
    </row>
    <row r="312" spans="1:9" ht="19.5" customHeight="1" x14ac:dyDescent="0.25">
      <c r="A312" s="133"/>
      <c r="I312" s="132"/>
    </row>
    <row r="313" spans="1:9" ht="19.5" customHeight="1" x14ac:dyDescent="0.25">
      <c r="A313" s="133"/>
      <c r="I313" s="132"/>
    </row>
    <row r="314" spans="1:9" ht="19.5" customHeight="1" x14ac:dyDescent="0.25">
      <c r="A314" s="133"/>
      <c r="I314" s="132"/>
    </row>
    <row r="315" spans="1:9" ht="19.5" customHeight="1" x14ac:dyDescent="0.25">
      <c r="A315" s="133"/>
      <c r="I315" s="132"/>
    </row>
    <row r="316" spans="1:9" ht="19.5" customHeight="1" x14ac:dyDescent="0.25">
      <c r="A316" s="133"/>
      <c r="I316" s="132"/>
    </row>
    <row r="317" spans="1:9" ht="19.5" customHeight="1" x14ac:dyDescent="0.25">
      <c r="A317" s="133"/>
      <c r="I317" s="132"/>
    </row>
    <row r="318" spans="1:9" ht="19.5" customHeight="1" x14ac:dyDescent="0.25">
      <c r="A318" s="133"/>
      <c r="I318" s="132"/>
    </row>
    <row r="319" spans="1:9" ht="19.5" customHeight="1" x14ac:dyDescent="0.25">
      <c r="A319" s="133"/>
      <c r="I319" s="132"/>
    </row>
    <row r="320" spans="1:9" ht="19.5" customHeight="1" x14ac:dyDescent="0.25">
      <c r="A320" s="133"/>
      <c r="I320" s="132"/>
    </row>
    <row r="321" spans="1:9" ht="19.5" customHeight="1" x14ac:dyDescent="0.25">
      <c r="A321" s="133"/>
      <c r="I321" s="132"/>
    </row>
    <row r="322" spans="1:9" ht="19.5" customHeight="1" x14ac:dyDescent="0.25">
      <c r="A322" s="133"/>
      <c r="I322" s="132"/>
    </row>
    <row r="323" spans="1:9" ht="19.5" customHeight="1" x14ac:dyDescent="0.25">
      <c r="A323" s="133"/>
      <c r="I323" s="132"/>
    </row>
    <row r="324" spans="1:9" ht="19.5" customHeight="1" x14ac:dyDescent="0.25">
      <c r="A324" s="133"/>
      <c r="I324" s="132"/>
    </row>
    <row r="325" spans="1:9" ht="19.5" customHeight="1" x14ac:dyDescent="0.25">
      <c r="A325" s="133"/>
      <c r="I325" s="132"/>
    </row>
    <row r="326" spans="1:9" ht="19.5" customHeight="1" x14ac:dyDescent="0.25">
      <c r="A326" s="133"/>
      <c r="I326" s="132"/>
    </row>
    <row r="327" spans="1:9" ht="19.5" customHeight="1" x14ac:dyDescent="0.25">
      <c r="A327" s="133"/>
      <c r="I327" s="132"/>
    </row>
    <row r="328" spans="1:9" ht="19.5" customHeight="1" x14ac:dyDescent="0.25">
      <c r="A328" s="133"/>
      <c r="I328" s="132"/>
    </row>
    <row r="329" spans="1:9" ht="19.5" customHeight="1" x14ac:dyDescent="0.25">
      <c r="A329" s="133"/>
      <c r="I329" s="132"/>
    </row>
    <row r="330" spans="1:9" ht="19.5" customHeight="1" x14ac:dyDescent="0.25">
      <c r="A330" s="133"/>
      <c r="I330" s="132"/>
    </row>
    <row r="331" spans="1:9" ht="19.5" customHeight="1" x14ac:dyDescent="0.25">
      <c r="A331" s="133"/>
      <c r="I331" s="132"/>
    </row>
    <row r="332" spans="1:9" ht="19.5" customHeight="1" x14ac:dyDescent="0.25">
      <c r="A332" s="133"/>
      <c r="I332" s="132"/>
    </row>
    <row r="333" spans="1:9" ht="19.5" customHeight="1" x14ac:dyDescent="0.25">
      <c r="A333" s="133"/>
      <c r="I333" s="132"/>
    </row>
    <row r="334" spans="1:9" ht="19.5" customHeight="1" x14ac:dyDescent="0.25">
      <c r="A334" s="133"/>
      <c r="I334" s="132"/>
    </row>
    <row r="335" spans="1:9" ht="19.5" customHeight="1" x14ac:dyDescent="0.25">
      <c r="A335" s="133"/>
      <c r="I335" s="132"/>
    </row>
    <row r="336" spans="1:9" ht="19.5" customHeight="1" x14ac:dyDescent="0.25">
      <c r="A336" s="133"/>
      <c r="I336" s="132"/>
    </row>
    <row r="337" spans="1:9" ht="19.5" customHeight="1" x14ac:dyDescent="0.25">
      <c r="A337" s="133"/>
      <c r="I337" s="132"/>
    </row>
    <row r="338" spans="1:9" ht="19.5" customHeight="1" x14ac:dyDescent="0.25">
      <c r="A338" s="133"/>
      <c r="I338" s="132"/>
    </row>
    <row r="339" spans="1:9" ht="19.5" customHeight="1" x14ac:dyDescent="0.25">
      <c r="A339" s="133"/>
      <c r="I339" s="132"/>
    </row>
    <row r="340" spans="1:9" ht="19.5" customHeight="1" x14ac:dyDescent="0.25">
      <c r="A340" s="133"/>
      <c r="I340" s="132"/>
    </row>
    <row r="341" spans="1:9" ht="19.5" customHeight="1" x14ac:dyDescent="0.25">
      <c r="A341" s="133"/>
      <c r="I341" s="132"/>
    </row>
    <row r="342" spans="1:9" ht="19.5" customHeight="1" x14ac:dyDescent="0.25">
      <c r="A342" s="133"/>
      <c r="I342" s="132"/>
    </row>
    <row r="343" spans="1:9" ht="19.5" customHeight="1" x14ac:dyDescent="0.25">
      <c r="A343" s="133"/>
      <c r="I343" s="132"/>
    </row>
    <row r="344" spans="1:9" ht="19.5" customHeight="1" x14ac:dyDescent="0.25">
      <c r="A344" s="133"/>
      <c r="I344" s="132"/>
    </row>
    <row r="345" spans="1:9" ht="19.5" customHeight="1" x14ac:dyDescent="0.25">
      <c r="A345" s="133"/>
      <c r="I345" s="132"/>
    </row>
    <row r="346" spans="1:9" ht="19.5" customHeight="1" x14ac:dyDescent="0.25">
      <c r="A346" s="133"/>
      <c r="I346" s="132"/>
    </row>
    <row r="347" spans="1:9" ht="19.5" customHeight="1" x14ac:dyDescent="0.25">
      <c r="A347" s="133"/>
      <c r="I347" s="132"/>
    </row>
    <row r="348" spans="1:9" ht="19.5" customHeight="1" x14ac:dyDescent="0.25">
      <c r="A348" s="133"/>
      <c r="I348" s="132"/>
    </row>
    <row r="349" spans="1:9" ht="19.5" customHeight="1" x14ac:dyDescent="0.25">
      <c r="A349" s="133"/>
      <c r="I349" s="132"/>
    </row>
    <row r="350" spans="1:9" ht="19.5" customHeight="1" x14ac:dyDescent="0.25">
      <c r="A350" s="133"/>
      <c r="I350" s="132"/>
    </row>
    <row r="351" spans="1:9" ht="19.5" customHeight="1" x14ac:dyDescent="0.25">
      <c r="A351" s="133"/>
      <c r="I351" s="132"/>
    </row>
    <row r="352" spans="1:9" ht="19.5" customHeight="1" x14ac:dyDescent="0.25">
      <c r="A352" s="133"/>
      <c r="I352" s="132"/>
    </row>
    <row r="353" spans="1:9" ht="19.5" customHeight="1" x14ac:dyDescent="0.25">
      <c r="A353" s="133"/>
      <c r="I353" s="132"/>
    </row>
    <row r="354" spans="1:9" ht="19.5" customHeight="1" x14ac:dyDescent="0.25">
      <c r="A354" s="133"/>
      <c r="I354" s="132"/>
    </row>
    <row r="355" spans="1:9" ht="19.5" customHeight="1" x14ac:dyDescent="0.25">
      <c r="A355" s="133"/>
      <c r="I355" s="132"/>
    </row>
    <row r="356" spans="1:9" ht="19.5" customHeight="1" x14ac:dyDescent="0.25">
      <c r="A356" s="133"/>
      <c r="I356" s="132"/>
    </row>
    <row r="357" spans="1:9" ht="19.5" customHeight="1" x14ac:dyDescent="0.25">
      <c r="A357" s="133"/>
      <c r="I357" s="132"/>
    </row>
    <row r="358" spans="1:9" ht="19.5" customHeight="1" x14ac:dyDescent="0.25">
      <c r="A358" s="133"/>
      <c r="I358" s="132"/>
    </row>
    <row r="359" spans="1:9" ht="19.5" customHeight="1" x14ac:dyDescent="0.25">
      <c r="A359" s="133"/>
      <c r="I359" s="132"/>
    </row>
    <row r="360" spans="1:9" ht="19.5" customHeight="1" x14ac:dyDescent="0.25">
      <c r="A360" s="133"/>
      <c r="I360" s="132"/>
    </row>
    <row r="361" spans="1:9" ht="19.5" customHeight="1" x14ac:dyDescent="0.25">
      <c r="A361" s="133"/>
      <c r="I361" s="132"/>
    </row>
    <row r="362" spans="1:9" ht="19.5" customHeight="1" x14ac:dyDescent="0.25">
      <c r="A362" s="133"/>
      <c r="I362" s="132"/>
    </row>
    <row r="363" spans="1:9" ht="19.5" customHeight="1" x14ac:dyDescent="0.25">
      <c r="A363" s="133"/>
      <c r="I363" s="132"/>
    </row>
    <row r="364" spans="1:9" ht="19.5" customHeight="1" x14ac:dyDescent="0.25">
      <c r="A364" s="133"/>
      <c r="I364" s="132"/>
    </row>
    <row r="365" spans="1:9" ht="19.5" customHeight="1" x14ac:dyDescent="0.25">
      <c r="A365" s="133"/>
      <c r="I365" s="132"/>
    </row>
    <row r="366" spans="1:9" ht="19.5" customHeight="1" x14ac:dyDescent="0.25">
      <c r="A366" s="133"/>
      <c r="I366" s="132"/>
    </row>
    <row r="367" spans="1:9" ht="19.5" customHeight="1" x14ac:dyDescent="0.25">
      <c r="A367" s="133"/>
      <c r="I367" s="132"/>
    </row>
    <row r="368" spans="1:9" ht="19.5" customHeight="1" x14ac:dyDescent="0.25">
      <c r="A368" s="133"/>
      <c r="I368" s="132"/>
    </row>
    <row r="369" spans="1:9" ht="19.5" customHeight="1" x14ac:dyDescent="0.25">
      <c r="A369" s="133"/>
      <c r="I369" s="132"/>
    </row>
    <row r="370" spans="1:9" ht="19.5" customHeight="1" x14ac:dyDescent="0.25">
      <c r="A370" s="133"/>
      <c r="I370" s="132"/>
    </row>
    <row r="371" spans="1:9" ht="19.5" customHeight="1" x14ac:dyDescent="0.25">
      <c r="A371" s="133"/>
      <c r="I371" s="132"/>
    </row>
    <row r="372" spans="1:9" ht="19.5" customHeight="1" x14ac:dyDescent="0.25">
      <c r="A372" s="133"/>
      <c r="I372" s="132"/>
    </row>
    <row r="373" spans="1:9" ht="19.5" customHeight="1" x14ac:dyDescent="0.25">
      <c r="A373" s="133"/>
      <c r="I373" s="132"/>
    </row>
    <row r="374" spans="1:9" ht="19.5" customHeight="1" x14ac:dyDescent="0.25">
      <c r="A374" s="133"/>
      <c r="I374" s="132"/>
    </row>
    <row r="375" spans="1:9" ht="19.5" customHeight="1" x14ac:dyDescent="0.25">
      <c r="A375" s="133"/>
      <c r="I375" s="132"/>
    </row>
    <row r="376" spans="1:9" ht="19.5" customHeight="1" x14ac:dyDescent="0.25">
      <c r="A376" s="133"/>
      <c r="I376" s="132"/>
    </row>
    <row r="377" spans="1:9" ht="19.5" customHeight="1" x14ac:dyDescent="0.25">
      <c r="A377" s="133"/>
      <c r="I377" s="132"/>
    </row>
    <row r="378" spans="1:9" ht="19.5" customHeight="1" x14ac:dyDescent="0.25">
      <c r="A378" s="133"/>
      <c r="I378" s="132"/>
    </row>
    <row r="379" spans="1:9" ht="19.5" customHeight="1" x14ac:dyDescent="0.25">
      <c r="A379" s="133"/>
      <c r="I379" s="132"/>
    </row>
    <row r="380" spans="1:9" ht="19.5" customHeight="1" x14ac:dyDescent="0.25">
      <c r="A380" s="133"/>
      <c r="I380" s="132"/>
    </row>
    <row r="381" spans="1:9" ht="19.5" customHeight="1" x14ac:dyDescent="0.25">
      <c r="A381" s="133"/>
      <c r="I381" s="132"/>
    </row>
    <row r="382" spans="1:9" ht="19.5" customHeight="1" x14ac:dyDescent="0.25">
      <c r="A382" s="133"/>
      <c r="I382" s="132"/>
    </row>
    <row r="383" spans="1:9" ht="19.5" customHeight="1" x14ac:dyDescent="0.25">
      <c r="A383" s="133"/>
      <c r="I383" s="132"/>
    </row>
    <row r="384" spans="1:9" ht="19.5" customHeight="1" x14ac:dyDescent="0.25">
      <c r="A384" s="133"/>
      <c r="I384" s="132"/>
    </row>
    <row r="385" spans="1:9" ht="19.5" customHeight="1" x14ac:dyDescent="0.25">
      <c r="A385" s="133"/>
      <c r="I385" s="132"/>
    </row>
    <row r="386" spans="1:9" ht="19.5" customHeight="1" x14ac:dyDescent="0.25">
      <c r="A386" s="133"/>
      <c r="I386" s="132"/>
    </row>
    <row r="387" spans="1:9" ht="19.5" customHeight="1" x14ac:dyDescent="0.25">
      <c r="A387" s="133"/>
      <c r="I387" s="132"/>
    </row>
    <row r="388" spans="1:9" ht="19.5" customHeight="1" x14ac:dyDescent="0.25">
      <c r="A388" s="133"/>
      <c r="I388" s="132"/>
    </row>
    <row r="389" spans="1:9" ht="19.5" customHeight="1" x14ac:dyDescent="0.25">
      <c r="A389" s="133"/>
      <c r="I389" s="132"/>
    </row>
    <row r="390" spans="1:9" ht="19.5" customHeight="1" x14ac:dyDescent="0.25">
      <c r="A390" s="133"/>
      <c r="I390" s="132"/>
    </row>
    <row r="391" spans="1:9" ht="19.5" customHeight="1" x14ac:dyDescent="0.25">
      <c r="A391" s="133"/>
      <c r="I391" s="132"/>
    </row>
    <row r="392" spans="1:9" ht="19.5" customHeight="1" x14ac:dyDescent="0.25">
      <c r="A392" s="133"/>
      <c r="I392" s="132"/>
    </row>
    <row r="393" spans="1:9" ht="19.5" customHeight="1" x14ac:dyDescent="0.25">
      <c r="A393" s="133"/>
      <c r="I393" s="132"/>
    </row>
    <row r="394" spans="1:9" ht="19.5" customHeight="1" x14ac:dyDescent="0.25">
      <c r="A394" s="133"/>
      <c r="I394" s="132"/>
    </row>
    <row r="395" spans="1:9" ht="19.5" customHeight="1" x14ac:dyDescent="0.25">
      <c r="A395" s="133"/>
      <c r="I395" s="132"/>
    </row>
    <row r="396" spans="1:9" ht="19.5" customHeight="1" x14ac:dyDescent="0.25">
      <c r="A396" s="133"/>
      <c r="I396" s="132"/>
    </row>
    <row r="397" spans="1:9" ht="19.5" customHeight="1" x14ac:dyDescent="0.25">
      <c r="A397" s="133"/>
      <c r="I397" s="132"/>
    </row>
    <row r="398" spans="1:9" ht="19.5" customHeight="1" x14ac:dyDescent="0.25">
      <c r="A398" s="133"/>
      <c r="I398" s="132"/>
    </row>
    <row r="399" spans="1:9" ht="19.5" customHeight="1" x14ac:dyDescent="0.25">
      <c r="A399" s="133"/>
      <c r="I399" s="132"/>
    </row>
    <row r="400" spans="1:9" ht="19.5" customHeight="1" x14ac:dyDescent="0.25">
      <c r="A400" s="133"/>
      <c r="I400" s="132"/>
    </row>
    <row r="401" spans="1:9" ht="19.5" customHeight="1" x14ac:dyDescent="0.25">
      <c r="A401" s="133"/>
      <c r="I401" s="132"/>
    </row>
    <row r="402" spans="1:9" ht="19.5" customHeight="1" x14ac:dyDescent="0.25">
      <c r="A402" s="133"/>
      <c r="I402" s="132"/>
    </row>
    <row r="403" spans="1:9" ht="19.5" customHeight="1" x14ac:dyDescent="0.25">
      <c r="A403" s="133"/>
      <c r="I403" s="132"/>
    </row>
    <row r="404" spans="1:9" ht="19.5" customHeight="1" x14ac:dyDescent="0.25">
      <c r="A404" s="133"/>
      <c r="I404" s="132"/>
    </row>
    <row r="405" spans="1:9" ht="19.5" customHeight="1" x14ac:dyDescent="0.25">
      <c r="A405" s="133"/>
      <c r="I405" s="132"/>
    </row>
    <row r="406" spans="1:9" ht="19.5" customHeight="1" x14ac:dyDescent="0.25">
      <c r="A406" s="133"/>
      <c r="I406" s="132"/>
    </row>
    <row r="407" spans="1:9" ht="19.5" customHeight="1" x14ac:dyDescent="0.25">
      <c r="A407" s="133"/>
      <c r="I407" s="132"/>
    </row>
    <row r="408" spans="1:9" ht="19.5" customHeight="1" x14ac:dyDescent="0.25">
      <c r="A408" s="133"/>
      <c r="I408" s="132"/>
    </row>
    <row r="409" spans="1:9" ht="19.5" customHeight="1" x14ac:dyDescent="0.25">
      <c r="A409" s="133"/>
      <c r="I409" s="132"/>
    </row>
    <row r="410" spans="1:9" ht="19.5" customHeight="1" x14ac:dyDescent="0.25">
      <c r="A410" s="133"/>
      <c r="I410" s="132"/>
    </row>
    <row r="411" spans="1:9" ht="19.5" customHeight="1" x14ac:dyDescent="0.25">
      <c r="A411" s="133"/>
      <c r="I411" s="132"/>
    </row>
    <row r="412" spans="1:9" ht="19.5" customHeight="1" x14ac:dyDescent="0.25">
      <c r="A412" s="133"/>
      <c r="I412" s="132"/>
    </row>
    <row r="413" spans="1:9" ht="19.5" customHeight="1" x14ac:dyDescent="0.25">
      <c r="A413" s="133"/>
      <c r="I413" s="132"/>
    </row>
    <row r="414" spans="1:9" ht="19.5" customHeight="1" x14ac:dyDescent="0.25">
      <c r="A414" s="133"/>
      <c r="I414" s="132"/>
    </row>
    <row r="415" spans="1:9" ht="19.5" customHeight="1" x14ac:dyDescent="0.25">
      <c r="A415" s="133"/>
      <c r="I415" s="132"/>
    </row>
    <row r="416" spans="1:9" ht="19.5" customHeight="1" x14ac:dyDescent="0.25">
      <c r="A416" s="133"/>
      <c r="I416" s="132"/>
    </row>
    <row r="417" spans="1:9" ht="19.5" customHeight="1" x14ac:dyDescent="0.25">
      <c r="A417" s="133"/>
      <c r="I417" s="132"/>
    </row>
    <row r="418" spans="1:9" ht="19.5" customHeight="1" x14ac:dyDescent="0.25">
      <c r="A418" s="133"/>
      <c r="I418" s="132"/>
    </row>
    <row r="419" spans="1:9" ht="19.5" customHeight="1" x14ac:dyDescent="0.25">
      <c r="A419" s="133"/>
      <c r="I419" s="132"/>
    </row>
    <row r="420" spans="1:9" ht="19.5" customHeight="1" x14ac:dyDescent="0.25">
      <c r="A420" s="133"/>
      <c r="I420" s="132"/>
    </row>
    <row r="421" spans="1:9" ht="19.5" customHeight="1" x14ac:dyDescent="0.25">
      <c r="A421" s="133"/>
      <c r="I421" s="132"/>
    </row>
    <row r="422" spans="1:9" ht="19.5" customHeight="1" x14ac:dyDescent="0.25">
      <c r="A422" s="133"/>
      <c r="I422" s="132"/>
    </row>
    <row r="423" spans="1:9" ht="19.5" customHeight="1" x14ac:dyDescent="0.25">
      <c r="A423" s="133"/>
      <c r="I423" s="132"/>
    </row>
    <row r="424" spans="1:9" ht="19.5" customHeight="1" x14ac:dyDescent="0.25">
      <c r="A424" s="133"/>
      <c r="I424" s="132"/>
    </row>
    <row r="425" spans="1:9" ht="19.5" customHeight="1" x14ac:dyDescent="0.25">
      <c r="A425" s="133"/>
      <c r="I425" s="132"/>
    </row>
    <row r="426" spans="1:9" ht="19.5" customHeight="1" x14ac:dyDescent="0.25">
      <c r="A426" s="133"/>
      <c r="I426" s="132"/>
    </row>
    <row r="427" spans="1:9" ht="19.5" customHeight="1" x14ac:dyDescent="0.25">
      <c r="A427" s="133"/>
      <c r="I427" s="132"/>
    </row>
    <row r="428" spans="1:9" ht="19.5" customHeight="1" x14ac:dyDescent="0.25">
      <c r="A428" s="133"/>
      <c r="I428" s="132"/>
    </row>
    <row r="429" spans="1:9" ht="19.5" customHeight="1" x14ac:dyDescent="0.25">
      <c r="A429" s="133"/>
      <c r="I429" s="132"/>
    </row>
    <row r="430" spans="1:9" ht="19.5" customHeight="1" x14ac:dyDescent="0.25">
      <c r="A430" s="133"/>
      <c r="I430" s="132"/>
    </row>
    <row r="431" spans="1:9" ht="19.5" customHeight="1" x14ac:dyDescent="0.25">
      <c r="A431" s="133"/>
      <c r="I431" s="132"/>
    </row>
    <row r="432" spans="1:9" ht="19.5" customHeight="1" x14ac:dyDescent="0.25">
      <c r="A432" s="133"/>
      <c r="I432" s="132"/>
    </row>
    <row r="433" spans="1:9" ht="19.5" customHeight="1" x14ac:dyDescent="0.25">
      <c r="A433" s="133"/>
      <c r="I433" s="132"/>
    </row>
    <row r="434" spans="1:9" ht="19.5" customHeight="1" x14ac:dyDescent="0.25">
      <c r="A434" s="133"/>
      <c r="I434" s="132"/>
    </row>
    <row r="435" spans="1:9" ht="19.5" customHeight="1" x14ac:dyDescent="0.25">
      <c r="A435" s="133"/>
      <c r="I435" s="132"/>
    </row>
    <row r="436" spans="1:9" ht="19.5" customHeight="1" x14ac:dyDescent="0.25">
      <c r="A436" s="133"/>
      <c r="I436" s="132"/>
    </row>
    <row r="437" spans="1:9" ht="19.5" customHeight="1" x14ac:dyDescent="0.25">
      <c r="A437" s="133"/>
      <c r="I437" s="132"/>
    </row>
    <row r="438" spans="1:9" ht="19.5" customHeight="1" x14ac:dyDescent="0.25">
      <c r="A438" s="133"/>
      <c r="I438" s="132"/>
    </row>
    <row r="439" spans="1:9" ht="19.5" customHeight="1" x14ac:dyDescent="0.25">
      <c r="A439" s="133"/>
      <c r="I439" s="132"/>
    </row>
    <row r="440" spans="1:9" ht="19.5" customHeight="1" x14ac:dyDescent="0.25">
      <c r="A440" s="133"/>
      <c r="I440" s="132"/>
    </row>
    <row r="441" spans="1:9" ht="19.5" customHeight="1" x14ac:dyDescent="0.25">
      <c r="A441" s="133"/>
      <c r="I441" s="132"/>
    </row>
    <row r="442" spans="1:9" ht="19.5" customHeight="1" x14ac:dyDescent="0.25">
      <c r="A442" s="133"/>
      <c r="I442" s="132"/>
    </row>
    <row r="443" spans="1:9" ht="19.5" customHeight="1" x14ac:dyDescent="0.25">
      <c r="A443" s="133"/>
      <c r="I443" s="132"/>
    </row>
    <row r="444" spans="1:9" ht="19.5" customHeight="1" x14ac:dyDescent="0.25">
      <c r="A444" s="133"/>
      <c r="I444" s="132"/>
    </row>
    <row r="445" spans="1:9" ht="19.5" customHeight="1" x14ac:dyDescent="0.25">
      <c r="A445" s="133"/>
      <c r="I445" s="132"/>
    </row>
    <row r="446" spans="1:9" ht="19.5" customHeight="1" x14ac:dyDescent="0.25">
      <c r="A446" s="133"/>
      <c r="I446" s="132"/>
    </row>
    <row r="447" spans="1:9" ht="19.5" customHeight="1" x14ac:dyDescent="0.25">
      <c r="A447" s="133"/>
      <c r="I447" s="132"/>
    </row>
    <row r="448" spans="1:9" ht="19.5" customHeight="1" x14ac:dyDescent="0.25">
      <c r="A448" s="133"/>
      <c r="I448" s="132"/>
    </row>
    <row r="449" spans="1:9" ht="19.5" customHeight="1" x14ac:dyDescent="0.25">
      <c r="A449" s="133"/>
      <c r="I449" s="132"/>
    </row>
    <row r="450" spans="1:9" ht="19.5" customHeight="1" x14ac:dyDescent="0.25">
      <c r="A450" s="133"/>
      <c r="I450" s="132"/>
    </row>
    <row r="451" spans="1:9" ht="19.5" customHeight="1" x14ac:dyDescent="0.25">
      <c r="A451" s="133"/>
      <c r="I451" s="132"/>
    </row>
    <row r="452" spans="1:9" ht="19.5" customHeight="1" x14ac:dyDescent="0.25">
      <c r="A452" s="133"/>
      <c r="I452" s="132"/>
    </row>
    <row r="453" spans="1:9" ht="19.5" customHeight="1" x14ac:dyDescent="0.25">
      <c r="A453" s="133"/>
      <c r="I453" s="132"/>
    </row>
    <row r="454" spans="1:9" ht="19.5" customHeight="1" x14ac:dyDescent="0.25">
      <c r="A454" s="133"/>
      <c r="I454" s="132"/>
    </row>
    <row r="455" spans="1:9" ht="19.5" customHeight="1" x14ac:dyDescent="0.25">
      <c r="A455" s="133"/>
      <c r="I455" s="132"/>
    </row>
    <row r="456" spans="1:9" ht="19.5" customHeight="1" x14ac:dyDescent="0.25">
      <c r="A456" s="133"/>
      <c r="I456" s="132"/>
    </row>
    <row r="457" spans="1:9" ht="19.5" customHeight="1" x14ac:dyDescent="0.25">
      <c r="A457" s="133"/>
      <c r="I457" s="132"/>
    </row>
    <row r="458" spans="1:9" ht="19.5" customHeight="1" x14ac:dyDescent="0.25">
      <c r="A458" s="133"/>
      <c r="I458" s="132"/>
    </row>
    <row r="459" spans="1:9" ht="19.5" customHeight="1" x14ac:dyDescent="0.25">
      <c r="A459" s="133"/>
      <c r="I459" s="132"/>
    </row>
    <row r="460" spans="1:9" ht="19.5" customHeight="1" x14ac:dyDescent="0.25">
      <c r="A460" s="133"/>
      <c r="I460" s="132"/>
    </row>
    <row r="461" spans="1:9" ht="19.5" customHeight="1" x14ac:dyDescent="0.25">
      <c r="A461" s="133"/>
      <c r="I461" s="132"/>
    </row>
    <row r="462" spans="1:9" ht="19.5" customHeight="1" x14ac:dyDescent="0.25">
      <c r="A462" s="133"/>
      <c r="I462" s="132"/>
    </row>
    <row r="463" spans="1:9" ht="19.5" customHeight="1" x14ac:dyDescent="0.25">
      <c r="A463" s="133"/>
      <c r="I463" s="132"/>
    </row>
    <row r="464" spans="1:9" ht="19.5" customHeight="1" x14ac:dyDescent="0.25">
      <c r="A464" s="133"/>
      <c r="I464" s="132"/>
    </row>
    <row r="465" spans="1:9" ht="19.5" customHeight="1" x14ac:dyDescent="0.25">
      <c r="A465" s="133"/>
      <c r="I465" s="132"/>
    </row>
    <row r="466" spans="1:9" ht="19.5" customHeight="1" x14ac:dyDescent="0.25">
      <c r="A466" s="133"/>
      <c r="I466" s="132"/>
    </row>
    <row r="467" spans="1:9" ht="19.5" customHeight="1" x14ac:dyDescent="0.25">
      <c r="A467" s="133"/>
      <c r="I467" s="132"/>
    </row>
    <row r="468" spans="1:9" ht="19.5" customHeight="1" x14ac:dyDescent="0.25">
      <c r="A468" s="133"/>
      <c r="I468" s="132"/>
    </row>
    <row r="469" spans="1:9" ht="19.5" customHeight="1" x14ac:dyDescent="0.25">
      <c r="A469" s="133"/>
      <c r="I469" s="132"/>
    </row>
    <row r="470" spans="1:9" ht="19.5" customHeight="1" x14ac:dyDescent="0.25">
      <c r="A470" s="133"/>
      <c r="I470" s="132"/>
    </row>
    <row r="471" spans="1:9" ht="19.5" customHeight="1" x14ac:dyDescent="0.25">
      <c r="A471" s="133"/>
      <c r="I471" s="132"/>
    </row>
    <row r="472" spans="1:9" ht="19.5" customHeight="1" x14ac:dyDescent="0.25">
      <c r="A472" s="133"/>
      <c r="I472" s="132"/>
    </row>
    <row r="473" spans="1:9" ht="19.5" customHeight="1" x14ac:dyDescent="0.25">
      <c r="A473" s="133"/>
      <c r="I473" s="132"/>
    </row>
    <row r="474" spans="1:9" ht="19.5" customHeight="1" x14ac:dyDescent="0.25">
      <c r="A474" s="133"/>
      <c r="I474" s="132"/>
    </row>
    <row r="475" spans="1:9" ht="19.5" customHeight="1" x14ac:dyDescent="0.25">
      <c r="A475" s="133"/>
      <c r="I475" s="132"/>
    </row>
    <row r="476" spans="1:9" ht="19.5" customHeight="1" x14ac:dyDescent="0.25">
      <c r="A476" s="133"/>
      <c r="I476" s="132"/>
    </row>
    <row r="477" spans="1:9" ht="19.5" customHeight="1" x14ac:dyDescent="0.25">
      <c r="A477" s="133"/>
      <c r="I477" s="132"/>
    </row>
    <row r="478" spans="1:9" ht="19.5" customHeight="1" x14ac:dyDescent="0.25">
      <c r="A478" s="133"/>
      <c r="I478" s="132"/>
    </row>
    <row r="479" spans="1:9" ht="19.5" customHeight="1" x14ac:dyDescent="0.25">
      <c r="A479" s="133"/>
      <c r="I479" s="132"/>
    </row>
    <row r="480" spans="1:9" ht="19.5" customHeight="1" x14ac:dyDescent="0.25">
      <c r="A480" s="133"/>
      <c r="I480" s="132"/>
    </row>
    <row r="481" spans="1:9" ht="19.5" customHeight="1" x14ac:dyDescent="0.25">
      <c r="A481" s="133"/>
      <c r="I481" s="132"/>
    </row>
    <row r="482" spans="1:9" ht="19.5" customHeight="1" x14ac:dyDescent="0.25">
      <c r="A482" s="133"/>
      <c r="I482" s="132"/>
    </row>
    <row r="483" spans="1:9" ht="19.5" customHeight="1" x14ac:dyDescent="0.25">
      <c r="A483" s="133"/>
      <c r="I483" s="132"/>
    </row>
    <row r="484" spans="1:9" ht="19.5" customHeight="1" x14ac:dyDescent="0.25">
      <c r="A484" s="133"/>
      <c r="I484" s="132"/>
    </row>
    <row r="485" spans="1:9" ht="19.5" customHeight="1" x14ac:dyDescent="0.25">
      <c r="A485" s="133"/>
      <c r="I485" s="132"/>
    </row>
    <row r="486" spans="1:9" ht="19.5" customHeight="1" x14ac:dyDescent="0.25">
      <c r="A486" s="133"/>
      <c r="I486" s="132"/>
    </row>
    <row r="487" spans="1:9" ht="19.5" customHeight="1" x14ac:dyDescent="0.25">
      <c r="A487" s="133"/>
      <c r="I487" s="132"/>
    </row>
    <row r="488" spans="1:9" ht="19.5" customHeight="1" x14ac:dyDescent="0.25">
      <c r="A488" s="133"/>
      <c r="I488" s="132"/>
    </row>
    <row r="489" spans="1:9" ht="19.5" customHeight="1" x14ac:dyDescent="0.25">
      <c r="A489" s="133"/>
      <c r="I489" s="132"/>
    </row>
    <row r="490" spans="1:9" ht="19.5" customHeight="1" x14ac:dyDescent="0.25">
      <c r="A490" s="133"/>
      <c r="I490" s="132"/>
    </row>
    <row r="491" spans="1:9" ht="19.5" customHeight="1" x14ac:dyDescent="0.25">
      <c r="A491" s="133"/>
      <c r="I491" s="132"/>
    </row>
    <row r="492" spans="1:9" ht="19.5" customHeight="1" x14ac:dyDescent="0.25">
      <c r="A492" s="133"/>
      <c r="I492" s="132"/>
    </row>
    <row r="493" spans="1:9" ht="19.5" customHeight="1" x14ac:dyDescent="0.25">
      <c r="A493" s="133"/>
      <c r="I493" s="132"/>
    </row>
    <row r="494" spans="1:9" ht="19.5" customHeight="1" x14ac:dyDescent="0.25">
      <c r="A494" s="133"/>
      <c r="I494" s="132"/>
    </row>
    <row r="495" spans="1:9" ht="19.5" customHeight="1" x14ac:dyDescent="0.25">
      <c r="A495" s="133"/>
      <c r="I495" s="132"/>
    </row>
    <row r="496" spans="1:9" ht="19.5" customHeight="1" x14ac:dyDescent="0.25">
      <c r="A496" s="133"/>
      <c r="I496" s="132"/>
    </row>
    <row r="497" spans="1:9" ht="19.5" customHeight="1" x14ac:dyDescent="0.25">
      <c r="A497" s="133"/>
      <c r="I497" s="132"/>
    </row>
    <row r="498" spans="1:9" ht="19.5" customHeight="1" x14ac:dyDescent="0.25">
      <c r="A498" s="133"/>
      <c r="I498" s="132"/>
    </row>
    <row r="499" spans="1:9" ht="19.5" customHeight="1" x14ac:dyDescent="0.25">
      <c r="A499" s="133"/>
      <c r="I499" s="132"/>
    </row>
    <row r="500" spans="1:9" ht="19.5" customHeight="1" x14ac:dyDescent="0.25">
      <c r="A500" s="133"/>
      <c r="I500" s="132"/>
    </row>
    <row r="501" spans="1:9" ht="19.5" customHeight="1" x14ac:dyDescent="0.25">
      <c r="A501" s="133"/>
      <c r="I501" s="132"/>
    </row>
    <row r="502" spans="1:9" ht="19.5" customHeight="1" x14ac:dyDescent="0.25">
      <c r="A502" s="133"/>
      <c r="I502" s="132"/>
    </row>
    <row r="503" spans="1:9" ht="19.5" customHeight="1" x14ac:dyDescent="0.25">
      <c r="A503" s="133"/>
      <c r="I503" s="132"/>
    </row>
    <row r="504" spans="1:9" ht="19.5" customHeight="1" x14ac:dyDescent="0.25">
      <c r="A504" s="133"/>
      <c r="I504" s="132"/>
    </row>
    <row r="505" spans="1:9" ht="19.5" customHeight="1" x14ac:dyDescent="0.25">
      <c r="A505" s="133"/>
      <c r="I505" s="132"/>
    </row>
    <row r="506" spans="1:9" ht="19.5" customHeight="1" x14ac:dyDescent="0.25">
      <c r="A506" s="133"/>
      <c r="I506" s="132"/>
    </row>
    <row r="507" spans="1:9" ht="19.5" customHeight="1" x14ac:dyDescent="0.25">
      <c r="A507" s="133"/>
      <c r="I507" s="132"/>
    </row>
    <row r="508" spans="1:9" ht="19.5" customHeight="1" x14ac:dyDescent="0.25">
      <c r="A508" s="133"/>
      <c r="I508" s="132"/>
    </row>
    <row r="509" spans="1:9" ht="19.5" customHeight="1" x14ac:dyDescent="0.25">
      <c r="A509" s="133"/>
      <c r="I509" s="132"/>
    </row>
    <row r="510" spans="1:9" ht="19.5" customHeight="1" x14ac:dyDescent="0.25">
      <c r="A510" s="133"/>
      <c r="I510" s="132"/>
    </row>
    <row r="511" spans="1:9" ht="19.5" customHeight="1" x14ac:dyDescent="0.25">
      <c r="A511" s="133"/>
      <c r="I511" s="132"/>
    </row>
    <row r="512" spans="1:9" ht="19.5" customHeight="1" x14ac:dyDescent="0.25">
      <c r="A512" s="133"/>
      <c r="I512" s="132"/>
    </row>
    <row r="513" spans="1:9" ht="19.5" customHeight="1" x14ac:dyDescent="0.25">
      <c r="A513" s="133"/>
      <c r="I513" s="132"/>
    </row>
    <row r="514" spans="1:9" ht="19.5" customHeight="1" x14ac:dyDescent="0.25">
      <c r="A514" s="133"/>
      <c r="I514" s="132"/>
    </row>
    <row r="515" spans="1:9" ht="19.5" customHeight="1" x14ac:dyDescent="0.25">
      <c r="A515" s="133"/>
      <c r="I515" s="132"/>
    </row>
    <row r="516" spans="1:9" ht="19.5" customHeight="1" x14ac:dyDescent="0.25">
      <c r="A516" s="133"/>
      <c r="I516" s="132"/>
    </row>
    <row r="517" spans="1:9" ht="19.5" customHeight="1" x14ac:dyDescent="0.25">
      <c r="A517" s="133"/>
      <c r="I517" s="132"/>
    </row>
    <row r="518" spans="1:9" ht="19.5" customHeight="1" x14ac:dyDescent="0.25">
      <c r="A518" s="133"/>
      <c r="I518" s="132"/>
    </row>
    <row r="519" spans="1:9" ht="19.5" customHeight="1" x14ac:dyDescent="0.25">
      <c r="A519" s="133"/>
      <c r="I519" s="132"/>
    </row>
    <row r="520" spans="1:9" ht="19.5" customHeight="1" x14ac:dyDescent="0.25">
      <c r="A520" s="133"/>
      <c r="I520" s="132"/>
    </row>
    <row r="521" spans="1:9" ht="19.5" customHeight="1" x14ac:dyDescent="0.25">
      <c r="A521" s="133"/>
      <c r="I521" s="132"/>
    </row>
    <row r="522" spans="1:9" ht="19.5" customHeight="1" x14ac:dyDescent="0.25">
      <c r="A522" s="133"/>
      <c r="I522" s="132"/>
    </row>
    <row r="523" spans="1:9" ht="19.5" customHeight="1" x14ac:dyDescent="0.25">
      <c r="A523" s="133"/>
      <c r="I523" s="132"/>
    </row>
    <row r="524" spans="1:9" ht="19.5" customHeight="1" x14ac:dyDescent="0.25">
      <c r="A524" s="133"/>
      <c r="I524" s="132"/>
    </row>
    <row r="525" spans="1:9" ht="19.5" customHeight="1" x14ac:dyDescent="0.25">
      <c r="A525" s="133"/>
      <c r="I525" s="132"/>
    </row>
    <row r="526" spans="1:9" ht="19.5" customHeight="1" x14ac:dyDescent="0.25">
      <c r="A526" s="133"/>
      <c r="I526" s="132"/>
    </row>
    <row r="527" spans="1:9" ht="19.5" customHeight="1" x14ac:dyDescent="0.25">
      <c r="A527" s="133"/>
      <c r="I527" s="132"/>
    </row>
    <row r="528" spans="1:9" ht="19.5" customHeight="1" x14ac:dyDescent="0.25">
      <c r="A528" s="133"/>
      <c r="I528" s="132"/>
    </row>
    <row r="529" spans="1:9" ht="19.5" customHeight="1" x14ac:dyDescent="0.25">
      <c r="A529" s="133"/>
      <c r="I529" s="132"/>
    </row>
    <row r="530" spans="1:9" ht="19.5" customHeight="1" x14ac:dyDescent="0.25">
      <c r="A530" s="133"/>
      <c r="I530" s="132"/>
    </row>
    <row r="531" spans="1:9" ht="19.5" customHeight="1" x14ac:dyDescent="0.25">
      <c r="A531" s="133"/>
      <c r="I531" s="132"/>
    </row>
    <row r="532" spans="1:9" ht="19.5" customHeight="1" x14ac:dyDescent="0.25">
      <c r="A532" s="133"/>
      <c r="I532" s="132"/>
    </row>
    <row r="533" spans="1:9" ht="19.5" customHeight="1" x14ac:dyDescent="0.25">
      <c r="A533" s="133"/>
      <c r="I533" s="132"/>
    </row>
    <row r="534" spans="1:9" ht="19.5" customHeight="1" x14ac:dyDescent="0.25">
      <c r="A534" s="133"/>
      <c r="I534" s="132"/>
    </row>
    <row r="535" spans="1:9" ht="19.5" customHeight="1" x14ac:dyDescent="0.25">
      <c r="A535" s="133"/>
      <c r="I535" s="132"/>
    </row>
    <row r="536" spans="1:9" ht="19.5" customHeight="1" x14ac:dyDescent="0.25">
      <c r="A536" s="133"/>
      <c r="I536" s="132"/>
    </row>
    <row r="537" spans="1:9" ht="19.5" customHeight="1" x14ac:dyDescent="0.25">
      <c r="A537" s="133"/>
      <c r="I537" s="132"/>
    </row>
    <row r="538" spans="1:9" ht="19.5" customHeight="1" x14ac:dyDescent="0.25">
      <c r="A538" s="133"/>
      <c r="I538" s="132"/>
    </row>
    <row r="539" spans="1:9" ht="19.5" customHeight="1" x14ac:dyDescent="0.25">
      <c r="A539" s="133"/>
      <c r="I539" s="132"/>
    </row>
    <row r="540" spans="1:9" ht="19.5" customHeight="1" x14ac:dyDescent="0.25">
      <c r="A540" s="133"/>
      <c r="I540" s="132"/>
    </row>
    <row r="541" spans="1:9" ht="19.5" customHeight="1" x14ac:dyDescent="0.25">
      <c r="A541" s="133"/>
      <c r="I541" s="132"/>
    </row>
    <row r="542" spans="1:9" ht="19.5" customHeight="1" x14ac:dyDescent="0.25">
      <c r="A542" s="133"/>
      <c r="I542" s="132"/>
    </row>
    <row r="543" spans="1:9" ht="19.5" customHeight="1" x14ac:dyDescent="0.25">
      <c r="A543" s="133"/>
      <c r="I543" s="132"/>
    </row>
    <row r="544" spans="1:9" ht="19.5" customHeight="1" x14ac:dyDescent="0.25">
      <c r="A544" s="133"/>
      <c r="I544" s="132"/>
    </row>
    <row r="545" spans="1:9" ht="19.5" customHeight="1" x14ac:dyDescent="0.25">
      <c r="A545" s="133"/>
      <c r="I545" s="132"/>
    </row>
    <row r="546" spans="1:9" ht="19.5" customHeight="1" x14ac:dyDescent="0.25">
      <c r="A546" s="133"/>
      <c r="I546" s="132"/>
    </row>
    <row r="547" spans="1:9" ht="19.5" customHeight="1" x14ac:dyDescent="0.25">
      <c r="A547" s="133"/>
      <c r="I547" s="132"/>
    </row>
    <row r="548" spans="1:9" ht="19.5" customHeight="1" x14ac:dyDescent="0.25">
      <c r="A548" s="133"/>
      <c r="I548" s="132"/>
    </row>
    <row r="549" spans="1:9" ht="19.5" customHeight="1" x14ac:dyDescent="0.25">
      <c r="A549" s="133"/>
      <c r="I549" s="132"/>
    </row>
    <row r="550" spans="1:9" ht="19.5" customHeight="1" x14ac:dyDescent="0.25">
      <c r="A550" s="133"/>
      <c r="I550" s="132"/>
    </row>
    <row r="551" spans="1:9" ht="19.5" customHeight="1" x14ac:dyDescent="0.25">
      <c r="A551" s="133"/>
      <c r="I551" s="132"/>
    </row>
    <row r="552" spans="1:9" ht="19.5" customHeight="1" x14ac:dyDescent="0.25">
      <c r="A552" s="133"/>
      <c r="I552" s="132"/>
    </row>
    <row r="553" spans="1:9" ht="19.5" customHeight="1" x14ac:dyDescent="0.25">
      <c r="A553" s="133"/>
      <c r="I553" s="132"/>
    </row>
    <row r="554" spans="1:9" ht="19.5" customHeight="1" x14ac:dyDescent="0.25">
      <c r="A554" s="133"/>
      <c r="I554" s="132"/>
    </row>
    <row r="555" spans="1:9" ht="19.5" customHeight="1" x14ac:dyDescent="0.25">
      <c r="A555" s="133"/>
      <c r="I555" s="132"/>
    </row>
    <row r="556" spans="1:9" ht="19.5" customHeight="1" x14ac:dyDescent="0.25">
      <c r="A556" s="133"/>
      <c r="I556" s="132"/>
    </row>
    <row r="557" spans="1:9" ht="19.5" customHeight="1" x14ac:dyDescent="0.25">
      <c r="A557" s="133"/>
      <c r="I557" s="132"/>
    </row>
    <row r="558" spans="1:9" ht="19.5" customHeight="1" x14ac:dyDescent="0.25">
      <c r="A558" s="133"/>
      <c r="I558" s="132"/>
    </row>
    <row r="559" spans="1:9" ht="19.5" customHeight="1" x14ac:dyDescent="0.25">
      <c r="A559" s="133"/>
      <c r="I559" s="132"/>
    </row>
    <row r="560" spans="1:9" ht="19.5" customHeight="1" x14ac:dyDescent="0.25">
      <c r="A560" s="133"/>
      <c r="I560" s="132"/>
    </row>
    <row r="561" spans="1:9" ht="19.5" customHeight="1" x14ac:dyDescent="0.25">
      <c r="A561" s="133"/>
      <c r="I561" s="132"/>
    </row>
    <row r="562" spans="1:9" ht="19.5" customHeight="1" x14ac:dyDescent="0.25">
      <c r="A562" s="133"/>
      <c r="I562" s="132"/>
    </row>
    <row r="563" spans="1:9" ht="19.5" customHeight="1" x14ac:dyDescent="0.25">
      <c r="A563" s="133"/>
      <c r="I563" s="132"/>
    </row>
    <row r="564" spans="1:9" ht="19.5" customHeight="1" x14ac:dyDescent="0.25">
      <c r="A564" s="133"/>
      <c r="I564" s="132"/>
    </row>
    <row r="565" spans="1:9" ht="19.5" customHeight="1" x14ac:dyDescent="0.25">
      <c r="A565" s="133"/>
      <c r="I565" s="132"/>
    </row>
    <row r="566" spans="1:9" ht="19.5" customHeight="1" x14ac:dyDescent="0.25">
      <c r="A566" s="133"/>
      <c r="I566" s="132"/>
    </row>
    <row r="567" spans="1:9" ht="19.5" customHeight="1" x14ac:dyDescent="0.25">
      <c r="A567" s="133"/>
      <c r="I567" s="132"/>
    </row>
    <row r="568" spans="1:9" ht="19.5" customHeight="1" x14ac:dyDescent="0.25">
      <c r="A568" s="133"/>
      <c r="I568" s="132"/>
    </row>
    <row r="569" spans="1:9" ht="19.5" customHeight="1" x14ac:dyDescent="0.25">
      <c r="A569" s="133"/>
      <c r="I569" s="132"/>
    </row>
    <row r="570" spans="1:9" ht="19.5" customHeight="1" x14ac:dyDescent="0.25">
      <c r="A570" s="133"/>
      <c r="I570" s="132"/>
    </row>
    <row r="571" spans="1:9" ht="19.5" customHeight="1" x14ac:dyDescent="0.25">
      <c r="A571" s="133"/>
      <c r="I571" s="132"/>
    </row>
    <row r="572" spans="1:9" ht="19.5" customHeight="1" x14ac:dyDescent="0.25">
      <c r="A572" s="133"/>
      <c r="I572" s="132"/>
    </row>
    <row r="573" spans="1:9" ht="19.5" customHeight="1" x14ac:dyDescent="0.25">
      <c r="A573" s="133"/>
      <c r="I573" s="132"/>
    </row>
    <row r="574" spans="1:9" ht="19.5" customHeight="1" x14ac:dyDescent="0.25">
      <c r="A574" s="133"/>
      <c r="I574" s="132"/>
    </row>
    <row r="575" spans="1:9" ht="19.5" customHeight="1" x14ac:dyDescent="0.25">
      <c r="A575" s="133"/>
      <c r="I575" s="132"/>
    </row>
    <row r="576" spans="1:9" x14ac:dyDescent="0.25">
      <c r="A576" s="133"/>
      <c r="I576" s="132"/>
    </row>
    <row r="577" spans="1:9" x14ac:dyDescent="0.25">
      <c r="A577" s="133"/>
      <c r="I577" s="132"/>
    </row>
    <row r="578" spans="1:9" x14ac:dyDescent="0.25">
      <c r="A578" s="133"/>
      <c r="I578" s="132"/>
    </row>
    <row r="579" spans="1:9" x14ac:dyDescent="0.25">
      <c r="A579" s="133"/>
      <c r="I579" s="132"/>
    </row>
    <row r="580" spans="1:9" x14ac:dyDescent="0.25">
      <c r="A580" s="133"/>
      <c r="I580" s="132"/>
    </row>
    <row r="581" spans="1:9" x14ac:dyDescent="0.25">
      <c r="A581" s="133"/>
      <c r="I581" s="132"/>
    </row>
    <row r="582" spans="1:9" x14ac:dyDescent="0.25">
      <c r="A582" s="133"/>
      <c r="I582" s="132"/>
    </row>
    <row r="583" spans="1:9" x14ac:dyDescent="0.25">
      <c r="A583" s="133"/>
      <c r="I583" s="132"/>
    </row>
    <row r="584" spans="1:9" x14ac:dyDescent="0.25">
      <c r="A584" s="133"/>
      <c r="I584" s="132"/>
    </row>
    <row r="585" spans="1:9" x14ac:dyDescent="0.25">
      <c r="A585" s="133"/>
      <c r="I585" s="132"/>
    </row>
    <row r="586" spans="1:9" x14ac:dyDescent="0.25">
      <c r="A586" s="133"/>
      <c r="I586" s="132"/>
    </row>
    <row r="587" spans="1:9" x14ac:dyDescent="0.25">
      <c r="A587" s="133"/>
      <c r="I587" s="132"/>
    </row>
    <row r="588" spans="1:9" x14ac:dyDescent="0.25">
      <c r="A588" s="133"/>
      <c r="I588" s="132"/>
    </row>
    <row r="589" spans="1:9" x14ac:dyDescent="0.25">
      <c r="A589" s="133"/>
      <c r="I589" s="132"/>
    </row>
    <row r="590" spans="1:9" x14ac:dyDescent="0.25">
      <c r="A590" s="133"/>
      <c r="I590" s="132"/>
    </row>
    <row r="591" spans="1:9" x14ac:dyDescent="0.25">
      <c r="A591" s="133"/>
      <c r="I591" s="132"/>
    </row>
    <row r="592" spans="1:9" x14ac:dyDescent="0.25">
      <c r="A592" s="133"/>
      <c r="I592" s="132"/>
    </row>
    <row r="593" spans="1:9" x14ac:dyDescent="0.25">
      <c r="A593" s="133"/>
      <c r="I593" s="132"/>
    </row>
    <row r="594" spans="1:9" x14ac:dyDescent="0.25">
      <c r="A594" s="133"/>
      <c r="I594" s="132"/>
    </row>
    <row r="595" spans="1:9" x14ac:dyDescent="0.25">
      <c r="A595" s="133"/>
      <c r="I595" s="132"/>
    </row>
    <row r="596" spans="1:9" x14ac:dyDescent="0.25">
      <c r="A596" s="133"/>
      <c r="I596" s="132"/>
    </row>
    <row r="597" spans="1:9" x14ac:dyDescent="0.25">
      <c r="A597" s="133"/>
      <c r="I597" s="132"/>
    </row>
    <row r="598" spans="1:9" x14ac:dyDescent="0.25">
      <c r="A598" s="133"/>
      <c r="I598" s="132"/>
    </row>
  </sheetData>
  <mergeCells count="2">
    <mergeCell ref="B4:I4"/>
    <mergeCell ref="J4:R4"/>
  </mergeCells>
  <pageMargins left="0.31" right="0.21" top="0.19" bottom="0.18" header="0.16" footer="0.16"/>
  <pageSetup paperSize="9" scale="78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QuanLy</vt:lpstr>
      <vt:lpstr>Nhap</vt:lpstr>
      <vt:lpstr>Xuat</vt:lpstr>
      <vt:lpstr>DanhMucSP</vt:lpstr>
      <vt:lpstr>Kho</vt:lpstr>
      <vt:lpstr>BAOCAO</vt:lpstr>
      <vt:lpstr>BAOCAO!Criteria</vt:lpstr>
      <vt:lpstr>BAOCAO!Extract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AI</dc:creator>
  <cp:lastModifiedBy>Heorom</cp:lastModifiedBy>
  <cp:lastPrinted>2021-07-13T06:17:44Z</cp:lastPrinted>
  <dcterms:created xsi:type="dcterms:W3CDTF">2021-06-14T02:15:49Z</dcterms:created>
  <dcterms:modified xsi:type="dcterms:W3CDTF">2023-07-27T02:30:05Z</dcterms:modified>
</cp:coreProperties>
</file>